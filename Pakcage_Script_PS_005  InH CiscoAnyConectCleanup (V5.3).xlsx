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phasis-my.sharepoint.com/personal/harshithraj_p_mphasis_com/Documents/Automation/Excel/Pakcage_Script_PS_00/"/>
    </mc:Choice>
  </mc:AlternateContent>
  <xr:revisionPtr revIDLastSave="2" documentId="8_{16E9F2D8-A760-459D-8867-BBBEDA927C08}" xr6:coauthVersionLast="47" xr6:coauthVersionMax="47" xr10:uidLastSave="{A011FC6F-7E05-435A-8A1A-BC9FC06A666B}"/>
  <bookViews>
    <workbookView xWindow="-120" yWindow="-120" windowWidth="20730" windowHeight="11160" tabRatio="763" xr2:uid="{00000000-000D-0000-FFFF-FFFF00000000}"/>
  </bookViews>
  <sheets>
    <sheet name="PS SCript Builder" sheetId="5" r:id="rId1"/>
    <sheet name="Package Information" sheetId="8" r:id="rId2"/>
    <sheet name="Package (Installation Only)" sheetId="9" r:id="rId3"/>
    <sheet name="Referance - Column" sheetId="6" r:id="rId4"/>
    <sheet name="Referance - Row" sheetId="7" r:id="rId5"/>
  </sheets>
  <definedNames>
    <definedName name="_xlnm._FilterDatabase" localSheetId="0" hidden="1">'PS SCript Builder'!$E$10:$E$22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95" i="5" l="1"/>
  <c r="G95" i="5"/>
  <c r="D12" i="5"/>
  <c r="B12" i="5"/>
  <c r="B11" i="5"/>
  <c r="I1" i="5"/>
  <c r="G1" i="5"/>
  <c r="B13" i="5" l="1"/>
  <c r="D2" i="5" s="1"/>
  <c r="D1" i="5" l="1"/>
  <c r="B15" i="5"/>
  <c r="D3" i="5"/>
  <c r="B16" i="5"/>
  <c r="G60" i="5" l="1"/>
  <c r="G11" i="5"/>
  <c r="G57" i="5"/>
  <c r="G61" i="5"/>
  <c r="G103" i="5"/>
  <c r="G56" i="5"/>
  <c r="B18" i="5"/>
  <c r="B27" i="5" s="1"/>
  <c r="G130" i="5" s="1"/>
  <c r="G62" i="5"/>
  <c r="G67" i="5"/>
  <c r="G66" i="5"/>
  <c r="G65" i="5"/>
  <c r="G111" i="5"/>
  <c r="G64" i="5"/>
  <c r="G58" i="5"/>
  <c r="G106" i="5"/>
  <c r="G96" i="5"/>
  <c r="G105" i="5"/>
  <c r="G110" i="5"/>
  <c r="G104" i="5"/>
  <c r="G2" i="5"/>
  <c r="G114" i="5"/>
  <c r="G112" i="5"/>
  <c r="G59" i="5"/>
  <c r="G109" i="5"/>
  <c r="G107" i="5"/>
  <c r="G63" i="5"/>
  <c r="G113" i="5"/>
  <c r="G125" i="5"/>
  <c r="G82" i="5"/>
  <c r="G108" i="5"/>
  <c r="G98" i="5" l="1"/>
  <c r="G118" i="5"/>
  <c r="G89" i="5"/>
  <c r="G70" i="5"/>
  <c r="G73" i="5"/>
  <c r="G72" i="5"/>
  <c r="G91" i="5"/>
  <c r="G69" i="5"/>
  <c r="G85" i="5"/>
  <c r="G92" i="5"/>
  <c r="G7" i="5"/>
  <c r="G127" i="5"/>
  <c r="G122" i="5"/>
  <c r="G78" i="5"/>
  <c r="G116" i="5"/>
  <c r="G4" i="5"/>
  <c r="G18" i="5"/>
  <c r="G132" i="5"/>
  <c r="G100" i="5"/>
  <c r="G84" i="5"/>
  <c r="G88" i="5"/>
  <c r="G15" i="5"/>
  <c r="G77" i="5"/>
  <c r="C15" i="9"/>
  <c r="C14" i="9"/>
  <c r="C13" i="9"/>
  <c r="C8" i="9"/>
  <c r="C7" i="9"/>
  <c r="C6" i="9"/>
  <c r="C5" i="9"/>
  <c r="C4" i="9"/>
  <c r="C3" i="9"/>
  <c r="B2" i="9"/>
  <c r="B2" i="8" l="1"/>
  <c r="C15" i="8"/>
  <c r="C8" i="8"/>
  <c r="C6" i="8"/>
  <c r="C7" i="8"/>
  <c r="C5" i="8"/>
  <c r="C4" i="8"/>
  <c r="C3" i="8"/>
  <c r="C21" i="8"/>
  <c r="C20" i="8"/>
  <c r="C19" i="8"/>
  <c r="C14" i="8" l="1"/>
  <c r="C11" i="9" l="1"/>
  <c r="C9" i="9"/>
  <c r="C9" i="8"/>
  <c r="C13" i="8"/>
  <c r="C12" i="9" l="1"/>
  <c r="C17" i="8"/>
  <c r="C16" i="8"/>
  <c r="C10" i="9" l="1"/>
  <c r="C10" i="8"/>
  <c r="C11" i="8"/>
</calcChain>
</file>

<file path=xl/sharedStrings.xml><?xml version="1.0" encoding="utf-8"?>
<sst xmlns="http://schemas.openxmlformats.org/spreadsheetml/2006/main" count="396" uniqueCount="217">
  <si>
    <t>Package Standard</t>
  </si>
  <si>
    <t>MPHAPPS</t>
  </si>
  <si>
    <t>Publisher</t>
  </si>
  <si>
    <t>Version</t>
  </si>
  <si>
    <t>Description</t>
  </si>
  <si>
    <t>CMPackage Name</t>
  </si>
  <si>
    <t>Language</t>
  </si>
  <si>
    <t>Software name</t>
  </si>
  <si>
    <t>Collection Name</t>
  </si>
  <si>
    <t>New-CMPackage -Name "</t>
  </si>
  <si>
    <t>" -Description "</t>
  </si>
  <si>
    <t>" -Manufacturer "</t>
  </si>
  <si>
    <t>" -Language "</t>
  </si>
  <si>
    <t>" -Version "</t>
  </si>
  <si>
    <t>" -Path "</t>
  </si>
  <si>
    <t>"</t>
  </si>
  <si>
    <t>Path UNC</t>
  </si>
  <si>
    <t>StandardProgramName</t>
  </si>
  <si>
    <t>DiskSpaceRequirement</t>
  </si>
  <si>
    <t>DiskSpaceUnit</t>
  </si>
  <si>
    <t>GB</t>
  </si>
  <si>
    <t>Duration</t>
  </si>
  <si>
    <t>RunType</t>
  </si>
  <si>
    <t>Normal</t>
  </si>
  <si>
    <t>ProgramRunType</t>
  </si>
  <si>
    <t>WhetherOrNotUserIsLoggedOn</t>
  </si>
  <si>
    <t>RunMode</t>
  </si>
  <si>
    <t>RunWithAdministrativeRights</t>
  </si>
  <si>
    <t>UserInteraction</t>
  </si>
  <si>
    <t xml:space="preserve"> -DiskSpaceUnit </t>
  </si>
  <si>
    <t xml:space="preserve"> -Duration </t>
  </si>
  <si>
    <t xml:space="preserve"> -RunType "</t>
  </si>
  <si>
    <t>" -ProgramRunType "</t>
  </si>
  <si>
    <t>" -RunMode "</t>
  </si>
  <si>
    <t xml:space="preserve">" -UserInteraction </t>
  </si>
  <si>
    <t xml:space="preserve"> -CommandLine "</t>
  </si>
  <si>
    <t>New-CMDeviceCollection -Name "</t>
  </si>
  <si>
    <t>Limiting</t>
  </si>
  <si>
    <t>All Windows Workstation or Professional Systems</t>
  </si>
  <si>
    <t>SRVMUM06SSSVM01.CORP.MPHASIS.COM</t>
  </si>
  <si>
    <t>SRVMAN01SSSVM01.CORP.MPHASIS.COM</t>
  </si>
  <si>
    <t>SRVBAN04SSSVM01.CORP.MPHASIS.COM</t>
  </si>
  <si>
    <t>SRVBAN09SSSVM01.CORP.MPHASIS.COM</t>
  </si>
  <si>
    <t>SRVCHE03SSSVM01.CORP.MPHASIS.COM</t>
  </si>
  <si>
    <t>SRVBAN19IBCMVM1.CORP.MPHASIS.COM</t>
  </si>
  <si>
    <t>SRVBAN19SMDPVM1.CORP.MPHASIS.COM</t>
  </si>
  <si>
    <t>SRVBAN24SSSVM01.CORP.MPHASIS.COM</t>
  </si>
  <si>
    <t>SRVPUN02SSSVM01.CORP.MPHASIS.COM</t>
  </si>
  <si>
    <t>SRVPUN05SSSVM01.CORP.MPHASIS.COM</t>
  </si>
  <si>
    <t>Start-CMContentDistribution -PackageName “</t>
  </si>
  <si>
    <t>” -DistributionPointName "</t>
  </si>
  <si>
    <t>" –StandardProgramName "</t>
  </si>
  <si>
    <t>New-CMPackageDeployment -StandardProgram –PackageName "</t>
  </si>
  <si>
    <t xml:space="preserve">–RerunBehavior </t>
  </si>
  <si>
    <t xml:space="preserve">RerunIfFailedPreviousAttempt </t>
  </si>
  <si>
    <t xml:space="preserve">–SystemRestart </t>
  </si>
  <si>
    <t xml:space="preserve">DownloadContentFromDistributionPointAndRunLocally </t>
  </si>
  <si>
    <t xml:space="preserve">–SlowNetworkOption </t>
  </si>
  <si>
    <t>DownloadContentFromDistributionPointAndLocally</t>
  </si>
  <si>
    <t xml:space="preserve">AsSoonAsPossible </t>
  </si>
  <si>
    <t xml:space="preserve"> –FastNetworkOption </t>
  </si>
  <si>
    <t>New-CMProgram -PackageName "</t>
  </si>
  <si>
    <t>" -StandardProgramName "</t>
  </si>
  <si>
    <t>SRVPOL01SSSVM01.CORP.MPHASIS.COM</t>
  </si>
  <si>
    <t>SRVHYD03SCCMPH1.CORP.MPHASIS.COM</t>
  </si>
  <si>
    <t>CC4</t>
  </si>
  <si>
    <t>ORR-IBCM</t>
  </si>
  <si>
    <t>ORR-SITE</t>
  </si>
  <si>
    <t>EON</t>
  </si>
  <si>
    <t>MUMBAI</t>
  </si>
  <si>
    <t>KSHEMA</t>
  </si>
  <si>
    <t>M90</t>
  </si>
  <si>
    <t>POLAND</t>
  </si>
  <si>
    <t>Sl</t>
  </si>
  <si>
    <t>Distribution Point</t>
  </si>
  <si>
    <t>Location</t>
  </si>
  <si>
    <t>MB</t>
  </si>
  <si>
    <t>KB</t>
  </si>
  <si>
    <t>Hidden</t>
  </si>
  <si>
    <t>Maximized</t>
  </si>
  <si>
    <t>Minimized</t>
  </si>
  <si>
    <t>OnlyWhenNoUserIsLoggedOn</t>
  </si>
  <si>
    <t>OnlyWhenUserIsLoggedOn</t>
  </si>
  <si>
    <t>RunWithUserRights</t>
  </si>
  <si>
    <t>MLR</t>
  </si>
  <si>
    <t>HYD</t>
  </si>
  <si>
    <t>CHE</t>
  </si>
  <si>
    <t>BAG</t>
  </si>
  <si>
    <t>Package</t>
  </si>
  <si>
    <t>Dist Points</t>
  </si>
  <si>
    <t>ScheduleEvent</t>
  </si>
  <si>
    <t>RerunBehavior</t>
  </si>
  <si>
    <t>SystemRestart</t>
  </si>
  <si>
    <t>FastNetworkOption</t>
  </si>
  <si>
    <t>Architecture</t>
  </si>
  <si>
    <t>Program to install</t>
  </si>
  <si>
    <t>Collection to install</t>
  </si>
  <si>
    <t>Deployment to install</t>
  </si>
  <si>
    <t>Program to uninstall</t>
  </si>
  <si>
    <t>Collection to uninstall</t>
  </si>
  <si>
    <t>Deployment to Uninstall</t>
  </si>
  <si>
    <t>Program to Install</t>
  </si>
  <si>
    <t>Program to UnInstall</t>
  </si>
  <si>
    <t>Collection to Unnstall</t>
  </si>
  <si>
    <t xml:space="preserve">-Install" -DiskSpaceRequirement </t>
  </si>
  <si>
    <t xml:space="preserve">-Uninstall" -DiskSpaceRequirement </t>
  </si>
  <si>
    <t>-install" -LimitingCollectionName "</t>
  </si>
  <si>
    <t>-Uninstall" -LimitingCollectionName "</t>
  </si>
  <si>
    <t>-Install" –CollectionName "</t>
  </si>
  <si>
    <t>-UnInstall" –CollectionName "</t>
  </si>
  <si>
    <t xml:space="preserve">-Install" –ScheduleEvent </t>
  </si>
  <si>
    <t xml:space="preserve">-UnInstall" –ScheduleEvent </t>
  </si>
  <si>
    <t>CommandLine to install</t>
  </si>
  <si>
    <t>CommandLine to Uninstall</t>
  </si>
  <si>
    <t>Schedule Event</t>
  </si>
  <si>
    <t>AsSoonAsPossible</t>
  </si>
  <si>
    <t>LogOff</t>
  </si>
  <si>
    <t>LogOn</t>
  </si>
  <si>
    <t>RerunIfFailedPreviousAttempt</t>
  </si>
  <si>
    <t>RerunIfSucceededOnPreviousAttempt</t>
  </si>
  <si>
    <t>AlwaysRerunProgram</t>
  </si>
  <si>
    <t>NeverRerunDeployedProgram</t>
  </si>
  <si>
    <t>System Reboot</t>
  </si>
  <si>
    <t>DownloadContentFromDistributionPointAndRunLocally</t>
  </si>
  <si>
    <t>RunProgramFromDistributionPoint</t>
  </si>
  <si>
    <t>SlowNetworkOption</t>
  </si>
  <si>
    <t>DoNotRunProgram</t>
  </si>
  <si>
    <t>Delete Package</t>
  </si>
  <si>
    <t>Remove-CMPackage -Name "</t>
  </si>
  <si>
    <t>" -force</t>
  </si>
  <si>
    <t>Remove package</t>
  </si>
  <si>
    <t>Delete collection install</t>
  </si>
  <si>
    <t>Delete Collection Uninstall</t>
  </si>
  <si>
    <t>Collection Delete Install</t>
  </si>
  <si>
    <t>Collection Delete Uninstall</t>
  </si>
  <si>
    <t>Remove-CMDeviceCollection -Name "</t>
  </si>
  <si>
    <t>-Install" -force</t>
  </si>
  <si>
    <t>-UnInstall" -force</t>
  </si>
  <si>
    <t>(x86)</t>
  </si>
  <si>
    <t>(x64)</t>
  </si>
  <si>
    <t>(x86 x64)</t>
  </si>
  <si>
    <t xml:space="preserve"> </t>
  </si>
  <si>
    <t>DP Name</t>
  </si>
  <si>
    <t>Site</t>
  </si>
  <si>
    <t>Package Name</t>
  </si>
  <si>
    <t>Package version</t>
  </si>
  <si>
    <t>Installation time</t>
  </si>
  <si>
    <t>Package size</t>
  </si>
  <si>
    <t xml:space="preserve">Number of package </t>
  </si>
  <si>
    <t>Number of application</t>
  </si>
  <si>
    <t>Restart</t>
  </si>
  <si>
    <t>Reboot not required</t>
  </si>
  <si>
    <t xml:space="preserve">user notification </t>
  </si>
  <si>
    <t>NO</t>
  </si>
  <si>
    <t>Comments</t>
  </si>
  <si>
    <t>Deployment</t>
  </si>
  <si>
    <t>Collection Name 1</t>
  </si>
  <si>
    <t>Collection Name 2</t>
  </si>
  <si>
    <t>Collection Name 3</t>
  </si>
  <si>
    <t>Program Name 1</t>
  </si>
  <si>
    <t>Program Name 2</t>
  </si>
  <si>
    <t>Program Name 3</t>
  </si>
  <si>
    <t>Number of Program</t>
  </si>
  <si>
    <t>NA</t>
  </si>
  <si>
    <t>Deployment Name1</t>
  </si>
  <si>
    <t>Deployment Name2</t>
  </si>
  <si>
    <t>Deployment Name3</t>
  </si>
  <si>
    <t>######################################################</t>
  </si>
  <si>
    <t>CMD Split1</t>
  </si>
  <si>
    <t>CMD Split2</t>
  </si>
  <si>
    <t>Split Merge</t>
  </si>
  <si>
    <t>Space</t>
  </si>
  <si>
    <t>Install</t>
  </si>
  <si>
    <t>Uninstall</t>
  </si>
  <si>
    <t>PreviousCmd</t>
  </si>
  <si>
    <t>Only Installation</t>
  </si>
  <si>
    <t>Include Test Hosts to install</t>
  </si>
  <si>
    <t>Include Test Hosts to Uninstall</t>
  </si>
  <si>
    <t>Exclude Test Hosts to install</t>
  </si>
  <si>
    <t>Exclude Test Hosts to Uninstall</t>
  </si>
  <si>
    <t>Include All Hosts to install</t>
  </si>
  <si>
    <t>Include All Hosts to Uninstall</t>
  </si>
  <si>
    <t>Exclude All Hosts to install</t>
  </si>
  <si>
    <t>Exclude All Hosts to Uninstall</t>
  </si>
  <si>
    <t>Exclude Test Hosts from Install</t>
  </si>
  <si>
    <t>Exclude Test Hosts from UInstall</t>
  </si>
  <si>
    <t>Exclude All Hosts from Install</t>
  </si>
  <si>
    <t>Exclude All Hosts from UInstall</t>
  </si>
  <si>
    <t>Add-CMDeviceCollectionIncludeMembershipRule -CollectionName "</t>
  </si>
  <si>
    <t>Test Collection Name</t>
  </si>
  <si>
    <t>All Systems</t>
  </si>
  <si>
    <t>MPHAPPS Deployment Test Systems - All Locations</t>
  </si>
  <si>
    <t>Remove-CMDeviceCollectionIncludeMembershipRule -CollectionName "</t>
  </si>
  <si>
    <t>-Install" -IncludeCollectionName "</t>
  </si>
  <si>
    <t>-Uninstall" -IncludeCollectionName "</t>
  </si>
  <si>
    <t>-install" -IncludeCollectionName "</t>
  </si>
  <si>
    <t>Exclude Test Hosts from install</t>
  </si>
  <si>
    <t>Exclude All Hosts from install</t>
  </si>
  <si>
    <t>Program to Re-Install</t>
  </si>
  <si>
    <t xml:space="preserve">-RE-Install" -DiskSpaceRequirement </t>
  </si>
  <si>
    <t>” -DistributionPointGroupName "</t>
  </si>
  <si>
    <t>Site Wise</t>
  </si>
  <si>
    <t>DP Group</t>
  </si>
  <si>
    <t>Distribution PointGroup</t>
  </si>
  <si>
    <t>Group</t>
  </si>
  <si>
    <t>DR - Distribution Point for Application Package Deployment</t>
  </si>
  <si>
    <t>DR - Distribution Point for OSD</t>
  </si>
  <si>
    <t>Mphasis - Distribution Point for Application Package Deployment</t>
  </si>
  <si>
    <t>Mphasis - Distribution Point for OSD</t>
  </si>
  <si>
    <t>Mphasis &amp; DR - Distribution Point for OSD</t>
  </si>
  <si>
    <t>Mphasis &amp; DR - Distribution Point of Application Pacakge Deployment</t>
  </si>
  <si>
    <t>Server Management Distribution Group</t>
  </si>
  <si>
    <t>\\172.16.100.56\Package_Source\Cleanup_Tools\CiscoAnyConnectCleanupToolV5.3\</t>
  </si>
  <si>
    <t>CiscoAnyConnectCleanupToolV5.3.exe</t>
  </si>
  <si>
    <t>CiscoAnyConectCleanup</t>
  </si>
  <si>
    <t>(V5.3)</t>
  </si>
  <si>
    <t>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</si>
</sst>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EF2E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0" xfId="0" applyBorder="1"/>
    <xf numFmtId="0" fontId="0" fillId="0" borderId="0" xfId="0" applyFill="1" applyBorder="1"/>
    <xf numFmtId="0" fontId="0" fillId="0" borderId="0" xfId="0" quotePrefix="1"/>
    <xf numFmtId="0" fontId="2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4" fillId="2" borderId="5" xfId="2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49" fontId="1" fillId="2" borderId="5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right" vertical="center"/>
    </xf>
    <xf numFmtId="22" fontId="0" fillId="0" borderId="0" xfId="0" applyNumberFormat="1"/>
    <xf numFmtId="164" fontId="0" fillId="0" borderId="0" xfId="0" applyNumberFormat="1"/>
    <xf numFmtId="0" fontId="0" fillId="0" borderId="8" xfId="0" applyBorder="1"/>
    <xf numFmtId="0" fontId="2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vertical="center"/>
    </xf>
    <xf numFmtId="14" fontId="0" fillId="0" borderId="0" xfId="0" applyNumberFormat="1"/>
    <xf numFmtId="0" fontId="0" fillId="5" borderId="0" xfId="0" applyFill="1"/>
    <xf numFmtId="0" fontId="5" fillId="5" borderId="0" xfId="0" applyFont="1" applyFill="1"/>
    <xf numFmtId="0" fontId="0" fillId="5" borderId="0" xfId="0" applyFill="1" applyBorder="1"/>
    <xf numFmtId="0" fontId="6" fillId="0" borderId="0" xfId="0" applyFon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2" fillId="3" borderId="1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4" xfId="1" xr:uid="{00000000-0005-0000-0000-000002000000}"/>
  </cellStyles>
  <dxfs count="6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70C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70C0"/>
      </font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EF2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172.16.100.56\Package_Source\Cleanup_Tools\CiscoAnyConnectCleanupToolV5.3\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132"/>
  <sheetViews>
    <sheetView tabSelected="1" workbookViewId="0">
      <selection activeCell="B7" sqref="B7"/>
    </sheetView>
  </sheetViews>
  <sheetFormatPr defaultRowHeight="15" x14ac:dyDescent="0.25"/>
  <cols>
    <col min="1" max="1" width="31.7109375" style="1" bestFit="1" customWidth="1"/>
    <col min="2" max="2" width="51.85546875" style="1" bestFit="1" customWidth="1"/>
    <col min="3" max="3" width="9.5703125" style="1" customWidth="1"/>
    <col min="4" max="4" width="8.42578125" style="1" customWidth="1"/>
    <col min="5" max="5" width="28.140625" style="1" bestFit="1" customWidth="1"/>
    <col min="6" max="6" width="3.7109375" style="1" customWidth="1"/>
    <col min="7" max="7" width="24.28515625" style="1" customWidth="1"/>
    <col min="8" max="8" width="2.42578125" style="1" customWidth="1"/>
    <col min="9" max="9" width="20.7109375" style="1" customWidth="1"/>
    <col min="10" max="10" width="20.5703125" style="1" customWidth="1"/>
    <col min="11" max="11" width="14.42578125" style="1" customWidth="1"/>
    <col min="12" max="12" width="17.5703125" style="1" customWidth="1"/>
    <col min="13" max="13" width="16.28515625" style="1" bestFit="1" customWidth="1"/>
    <col min="14" max="14" width="13.140625" style="1" customWidth="1"/>
    <col min="15" max="16384" width="9.140625" style="1"/>
  </cols>
  <sheetData>
    <row r="1" spans="1:9" x14ac:dyDescent="0.25">
      <c r="A1" s="7" t="s">
        <v>0</v>
      </c>
      <c r="B1" s="8" t="s">
        <v>1</v>
      </c>
      <c r="C1" s="26" t="s">
        <v>171</v>
      </c>
      <c r="D1" s="25">
        <f>LEN(B13)-LEN(SUBSTITUTE(B13," ",""))</f>
        <v>3</v>
      </c>
      <c r="G1" s="21">
        <f ca="1">TODAY()</f>
        <v>44777</v>
      </c>
      <c r="H1" s="20"/>
      <c r="I1" s="20">
        <f ca="1">NOW()</f>
        <v>44777.024574189818</v>
      </c>
    </row>
    <row r="2" spans="1:9" x14ac:dyDescent="0.25">
      <c r="A2" s="9" t="s">
        <v>2</v>
      </c>
      <c r="B2" s="10" t="s">
        <v>216</v>
      </c>
      <c r="C2" s="26" t="s">
        <v>172</v>
      </c>
      <c r="D2" s="25">
        <f>LEN(B13)+8</f>
        <v>48</v>
      </c>
      <c r="E2" s="22" t="s">
        <v>88</v>
      </c>
      <c r="G2" s="1" t="str">
        <f>'Referance - Row'!C2&amp;B15&amp;'Referance - Row'!D2&amp;B16&amp;'Referance - Row'!E2&amp;B2&amp;'Referance - Row'!F2&amp;B6&amp;'Referance - Row'!G2&amp;B4&amp;'Referance - Row'!H2&amp;B7&amp;'Referance - Row'!I2</f>
        <v>New-CMPackage -Name "MPHAPPS InH CiscoAnyConectCleanup (V5.3)" -Description "MPHAPPS InH CiscoAnyConectCleanup (V5.3)" -Manufacturer "InH" -Language "" -Version "(V5.3)" -Path "\\172.16.100.56\Package_Source\Cleanup_Tools\CiscoAnyConnectCleanupToolV5.3\"</v>
      </c>
    </row>
    <row r="3" spans="1:9" x14ac:dyDescent="0.25">
      <c r="A3" s="9" t="s">
        <v>7</v>
      </c>
      <c r="B3" s="10" t="s">
        <v>214</v>
      </c>
      <c r="C3" s="26" t="s">
        <v>173</v>
      </c>
      <c r="D3" s="25">
        <f>LEN(B13)+10</f>
        <v>50</v>
      </c>
    </row>
    <row r="4" spans="1:9" x14ac:dyDescent="0.25">
      <c r="A4" s="9" t="s">
        <v>3</v>
      </c>
      <c r="B4" s="14" t="s">
        <v>215</v>
      </c>
      <c r="E4" s="2" t="s">
        <v>95</v>
      </c>
      <c r="G4" s="1" t="str">
        <f>'Referance - Row'!C4&amp;B15&amp;'Referance - Row'!D4&amp;B18&amp;'Referance - Row'!E4&amp;B19&amp;'Referance - Row'!F4&amp;B20&amp;'Referance - Row'!G4&amp;B21&amp;'Referance - Row'!H4&amp;B22&amp;'Referance - Row'!I4&amp;B23&amp;'Referance - Row'!J4&amp;B24&amp;'Referance - Row'!K4&amp;B25&amp;'Referance - Row'!L4&amp;B8&amp;'Referance - Row'!M4</f>
        <v>New-CMProgram -PackageName "MPHAPPS InH CiscoAnyConectCleanup (V5.3)" -StandardProgramName "MPHAPPS InH CiscoAnyConectCleanup (V5.3)-Install" -DiskSpaceRequirement 5 -DiskSpaceUnit GB -Duration 20 -RunType "Normal" -ProgramRunType "WhetherOrNotUserIsLoggedOn" -RunMode "RunWithAdministrativeRights" -UserInteraction 0 -CommandLine "CiscoAnyConnectCleanupToolV5.3.exe"</v>
      </c>
    </row>
    <row r="5" spans="1:9" x14ac:dyDescent="0.25">
      <c r="A5" s="9" t="s">
        <v>94</v>
      </c>
      <c r="B5" s="10"/>
      <c r="E5" s="2" t="s">
        <v>98</v>
      </c>
    </row>
    <row r="6" spans="1:9" x14ac:dyDescent="0.25">
      <c r="A6" s="9" t="s">
        <v>6</v>
      </c>
      <c r="B6" s="10"/>
    </row>
    <row r="7" spans="1:9" x14ac:dyDescent="0.25">
      <c r="A7" s="9" t="s">
        <v>16</v>
      </c>
      <c r="B7" s="11" t="s">
        <v>212</v>
      </c>
      <c r="E7" s="2" t="s">
        <v>96</v>
      </c>
      <c r="G7" s="1" t="str">
        <f>'Referance - Row'!C8&amp;B27&amp;'Referance - Row'!D8&amp;B28&amp;'Referance - Row'!E8</f>
        <v>New-CMDeviceCollection -Name "MPHAPPS InH CiscoAnyConectCleanup (V5.3)-install" -LimitingCollectionName "All Windows Workstation or Professional Systems"</v>
      </c>
    </row>
    <row r="8" spans="1:9" x14ac:dyDescent="0.25">
      <c r="A8" s="9" t="s">
        <v>112</v>
      </c>
      <c r="B8" s="10" t="s">
        <v>213</v>
      </c>
      <c r="E8" s="2" t="s">
        <v>99</v>
      </c>
    </row>
    <row r="9" spans="1:9" ht="15.75" thickBot="1" x14ac:dyDescent="0.3">
      <c r="A9" s="12" t="s">
        <v>113</v>
      </c>
      <c r="B9" s="13"/>
      <c r="E9" s="4"/>
    </row>
    <row r="10" spans="1:9" x14ac:dyDescent="0.25">
      <c r="E10" s="3" t="s">
        <v>202</v>
      </c>
    </row>
    <row r="11" spans="1:9" x14ac:dyDescent="0.25">
      <c r="A11" s="23" t="s">
        <v>168</v>
      </c>
      <c r="B11" s="24" t="str">
        <f>IF(OR(LEN(B1)&gt;=1,(LEN(B2)&gt;=1)),B1&amp;" ",B1)&amp;IF(AND(LEN(B2)&gt;=1,(LEN(B3)&gt;=1)),B2&amp;" ",B2)&amp;IF(AND(LEN(B3)&gt;=1,(LEN(B4)&gt;=1)),B3&amp;" ",B3)</f>
        <v xml:space="preserve">MPHAPPS InH CiscoAnyConectCleanup </v>
      </c>
      <c r="E11" s="2" t="s">
        <v>210</v>
      </c>
      <c r="G11" s="1" t="str">
        <f>'Referance - Row'!$C$12&amp;$B$15&amp;'Referance - Row'!$D$12&amp;E11&amp;'Referance - Row'!$E$12</f>
        <v>Start-CMContentDistribution -PackageName “MPHAPPS InH CiscoAnyConectCleanup (V5.3)” -DistributionPointGroupName "Mphasis &amp; DR - Distribution Point of Application Pacakge Deployment"</v>
      </c>
    </row>
    <row r="12" spans="1:9" x14ac:dyDescent="0.25">
      <c r="A12" s="23" t="s">
        <v>169</v>
      </c>
      <c r="B12" s="24" t="str">
        <f>IF(AND(LEN(B4)&gt;=1,(LEN(B5)&gt;=1)),B4&amp;" ",B4)&amp;IF(AND(OR(LEN(B5)&gt;=1,(LEN(B6)&gt;=1)),(LEN(B6)&gt;=1)),B5&amp;" ",B5)&amp;B6</f>
        <v>(V5.3)</v>
      </c>
      <c r="C12" s="1" t="s">
        <v>174</v>
      </c>
      <c r="D12" s="1" t="str">
        <f>IF(AND(LEN(B4)&gt;=1,(LEN(B5)&gt;=1)),B4&amp;" ",B4)&amp;IF(AND(LEN(B5)&gt;=1,(LEN(B6)&gt;=1)),B5&amp;" ",B5)&amp;B6</f>
        <v>(V5.3)</v>
      </c>
      <c r="E12" s="2" t="s">
        <v>210</v>
      </c>
    </row>
    <row r="13" spans="1:9" x14ac:dyDescent="0.25">
      <c r="A13" s="23" t="s">
        <v>170</v>
      </c>
      <c r="B13" s="24" t="str">
        <f>B11&amp;B12</f>
        <v>MPHAPPS InH CiscoAnyConectCleanup (V5.3)</v>
      </c>
      <c r="E13" s="2"/>
    </row>
    <row r="15" spans="1:9" x14ac:dyDescent="0.25">
      <c r="A15" s="2" t="s">
        <v>5</v>
      </c>
      <c r="B15" s="2" t="str">
        <f>B13</f>
        <v>MPHAPPS InH CiscoAnyConectCleanup (V5.3)</v>
      </c>
      <c r="C15" s="4"/>
      <c r="D15" s="4"/>
      <c r="E15" s="2" t="s">
        <v>97</v>
      </c>
      <c r="G15" s="1" t="str">
        <f>'Referance - Row'!$C$14&amp;$B$15&amp;'Referance - Row'!$D$14&amp;$B$18&amp;'Referance - Row'!$E$14&amp;$B$27&amp;'Referance - Row'!$F$14&amp;B30&amp;'Referance - Row'!$G$14&amp;$B$31&amp;'Referance - Row'!$H$14&amp;$B$32&amp;'Referance - Row'!$I$14&amp;$B$33&amp;'Referance - Row'!$J$14&amp;B34</f>
        <v>New-CMPackageDeployment -StandardProgram –PackageName "MPHAPPS InH CiscoAnyConectCleanup (V5.3)" –StandardProgramName "MPHAPPS InH CiscoAnyConectCleanup (V5.3)-Install" –CollectionName "MPHAPPS InH CiscoAnyConectCleanup (V5.3)-Install" –ScheduleEvent AsSoonAsPossible –RerunBehavior RerunIfFailedPreviousAttempt –SystemRestart 0 –FastNetworkOption DownloadContentFromDistributionPointAndRunLocally –SlowNetworkOption DownloadContentFromDistributionPointAndLocally</v>
      </c>
    </row>
    <row r="16" spans="1:9" x14ac:dyDescent="0.25">
      <c r="A16" s="2" t="s">
        <v>4</v>
      </c>
      <c r="B16" s="2" t="str">
        <f>B13</f>
        <v>MPHAPPS InH CiscoAnyConectCleanup (V5.3)</v>
      </c>
      <c r="C16" s="4"/>
      <c r="D16" s="4"/>
      <c r="E16" s="2" t="s">
        <v>100</v>
      </c>
    </row>
    <row r="18" spans="1:9" x14ac:dyDescent="0.25">
      <c r="A18" s="2" t="s">
        <v>17</v>
      </c>
      <c r="B18" s="2" t="str">
        <f>B15</f>
        <v>MPHAPPS InH CiscoAnyConectCleanup (V5.3)</v>
      </c>
      <c r="C18" s="4"/>
      <c r="D18" s="4"/>
      <c r="E18" s="2" t="s">
        <v>176</v>
      </c>
      <c r="G18" s="1" t="str">
        <f>'Referance - Row'!C23&amp;$B$27&amp;'Referance - Row'!D23&amp;'PS SCript Builder'!$B$36&amp;'Referance - Row'!E23</f>
        <v>Add-CMDeviceCollectionIncludeMembershipRule -CollectionName "MPHAPPS InH CiscoAnyConectCleanup (V5.3)-Install" -IncludeCollectionName "MPHAPPS Deployment Test Systems - All Locations"</v>
      </c>
    </row>
    <row r="19" spans="1:9" x14ac:dyDescent="0.25">
      <c r="A19" s="2" t="s">
        <v>18</v>
      </c>
      <c r="B19" s="2">
        <v>5</v>
      </c>
      <c r="C19" s="4"/>
      <c r="D19" s="4"/>
    </row>
    <row r="20" spans="1:9" x14ac:dyDescent="0.25">
      <c r="A20" s="2" t="s">
        <v>19</v>
      </c>
      <c r="B20" s="2" t="s">
        <v>20</v>
      </c>
      <c r="C20" s="4"/>
      <c r="D20" s="4"/>
    </row>
    <row r="21" spans="1:9" x14ac:dyDescent="0.25">
      <c r="A21" s="2" t="s">
        <v>21</v>
      </c>
      <c r="B21" s="2">
        <v>20</v>
      </c>
      <c r="C21" s="4"/>
      <c r="D21" s="4"/>
    </row>
    <row r="22" spans="1:9" x14ac:dyDescent="0.25">
      <c r="A22" s="2" t="s">
        <v>22</v>
      </c>
      <c r="B22" s="2" t="s">
        <v>23</v>
      </c>
      <c r="C22" s="4"/>
      <c r="D22" s="4"/>
    </row>
    <row r="23" spans="1:9" x14ac:dyDescent="0.25">
      <c r="A23" s="2" t="s">
        <v>24</v>
      </c>
      <c r="B23" s="2" t="s">
        <v>25</v>
      </c>
      <c r="C23" s="4"/>
      <c r="D23" s="4"/>
    </row>
    <row r="24" spans="1:9" x14ac:dyDescent="0.25">
      <c r="A24" s="2" t="s">
        <v>26</v>
      </c>
      <c r="B24" s="2" t="s">
        <v>27</v>
      </c>
      <c r="C24" s="4"/>
      <c r="D24" s="4"/>
    </row>
    <row r="25" spans="1:9" x14ac:dyDescent="0.25">
      <c r="A25" s="2" t="s">
        <v>28</v>
      </c>
      <c r="B25" s="2">
        <v>0</v>
      </c>
      <c r="C25" s="4"/>
      <c r="D25" s="4"/>
    </row>
    <row r="27" spans="1:9" x14ac:dyDescent="0.25">
      <c r="A27" s="3" t="s">
        <v>8</v>
      </c>
      <c r="B27" s="2" t="str">
        <f>B18</f>
        <v>MPHAPPS InH CiscoAnyConectCleanup (V5.3)</v>
      </c>
      <c r="C27" s="4"/>
      <c r="D27" s="4"/>
      <c r="I27" s="31"/>
    </row>
    <row r="28" spans="1:9" x14ac:dyDescent="0.25">
      <c r="A28" s="3" t="s">
        <v>37</v>
      </c>
      <c r="B28" s="2" t="s">
        <v>38</v>
      </c>
      <c r="C28" s="4"/>
      <c r="D28" s="4"/>
    </row>
    <row r="30" spans="1:9" x14ac:dyDescent="0.25">
      <c r="A30" s="2" t="s">
        <v>90</v>
      </c>
      <c r="B30" s="2" t="s">
        <v>59</v>
      </c>
      <c r="C30" s="4"/>
      <c r="D30" s="4"/>
    </row>
    <row r="31" spans="1:9" x14ac:dyDescent="0.25">
      <c r="A31" s="2" t="s">
        <v>91</v>
      </c>
      <c r="B31" s="2" t="s">
        <v>54</v>
      </c>
      <c r="C31" s="4"/>
      <c r="D31" s="4"/>
    </row>
    <row r="32" spans="1:9" x14ac:dyDescent="0.25">
      <c r="A32" s="2" t="s">
        <v>92</v>
      </c>
      <c r="B32" s="2">
        <v>0</v>
      </c>
      <c r="C32" s="4"/>
      <c r="D32" s="4"/>
    </row>
    <row r="33" spans="1:4" x14ac:dyDescent="0.25">
      <c r="A33" s="2" t="s">
        <v>93</v>
      </c>
      <c r="B33" s="2" t="s">
        <v>56</v>
      </c>
      <c r="C33" s="4"/>
      <c r="D33" s="4"/>
    </row>
    <row r="34" spans="1:4" x14ac:dyDescent="0.25">
      <c r="A34" s="2" t="s">
        <v>125</v>
      </c>
      <c r="B34" s="2" t="s">
        <v>58</v>
      </c>
      <c r="C34" s="4"/>
      <c r="D34" s="4"/>
    </row>
    <row r="36" spans="1:4" x14ac:dyDescent="0.25">
      <c r="A36" s="3" t="s">
        <v>189</v>
      </c>
      <c r="B36" s="3" t="s">
        <v>191</v>
      </c>
    </row>
    <row r="37" spans="1:4" x14ac:dyDescent="0.25">
      <c r="A37" s="3" t="s">
        <v>190</v>
      </c>
      <c r="B37" s="2" t="s">
        <v>38</v>
      </c>
    </row>
    <row r="55" spans="5:7" x14ac:dyDescent="0.25">
      <c r="E55" s="3" t="s">
        <v>201</v>
      </c>
    </row>
    <row r="56" spans="5:7" x14ac:dyDescent="0.25">
      <c r="E56" s="2" t="s">
        <v>65</v>
      </c>
      <c r="G56" s="1" t="str">
        <f>'Referance - Row'!$C$11&amp;$B$15&amp;'Referance - Row'!$D$11&amp;'Referance - Column'!AI2&amp;'Referance - Row'!$E$11</f>
        <v>Start-CMContentDistribution -PackageName “MPHAPPS InH CiscoAnyConectCleanup (V5.3)” -DistributionPointName "SRVPUN02SSSVM01.CORP.MPHASIS.COM"</v>
      </c>
    </row>
    <row r="57" spans="5:7" x14ac:dyDescent="0.25">
      <c r="E57" s="2" t="s">
        <v>66</v>
      </c>
      <c r="G57" s="1" t="str">
        <f>'Referance - Row'!$C$11&amp;$B$15&amp;'Referance - Row'!$D$11&amp;'Referance - Column'!AI3&amp;'Referance - Row'!$E$11</f>
        <v>Start-CMContentDistribution -PackageName “MPHAPPS InH CiscoAnyConectCleanup (V5.3)” -DistributionPointName "SRVBAN19IBCMVM1.CORP.MPHASIS.COM"</v>
      </c>
    </row>
    <row r="58" spans="5:7" x14ac:dyDescent="0.25">
      <c r="E58" s="2" t="s">
        <v>67</v>
      </c>
      <c r="G58" s="1" t="str">
        <f>'Referance - Row'!$C$11&amp;$B$15&amp;'Referance - Row'!$D$11&amp;'Referance - Column'!AI4&amp;'Referance - Row'!$E$11</f>
        <v>Start-CMContentDistribution -PackageName “MPHAPPS InH CiscoAnyConectCleanup (V5.3)” -DistributionPointName "SRVBAN19SMDPVM1.CORP.MPHASIS.COM"</v>
      </c>
    </row>
    <row r="59" spans="5:7" x14ac:dyDescent="0.25">
      <c r="E59" s="2" t="s">
        <v>68</v>
      </c>
      <c r="G59" s="1" t="str">
        <f>'Referance - Row'!$C$11&amp;$B$15&amp;'Referance - Row'!$D$11&amp;'Referance - Column'!AI5&amp;'Referance - Row'!$E$11</f>
        <v>Start-CMContentDistribution -PackageName “MPHAPPS InH CiscoAnyConectCleanup (V5.3)” -DistributionPointName "SRVPUN05SSSVM01.CORP.MPHASIS.COM"</v>
      </c>
    </row>
    <row r="60" spans="5:7" x14ac:dyDescent="0.25">
      <c r="E60" s="2" t="s">
        <v>69</v>
      </c>
      <c r="G60" s="1" t="str">
        <f>'Referance - Row'!$C$11&amp;$B$15&amp;'Referance - Row'!$D$11&amp;'Referance - Column'!AI6&amp;'Referance - Row'!$E$11</f>
        <v>Start-CMContentDistribution -PackageName “MPHAPPS InH CiscoAnyConectCleanup (V5.3)” -DistributionPointName "SRVMUM06SSSVM01.CORP.MPHASIS.COM"</v>
      </c>
    </row>
    <row r="61" spans="5:7" x14ac:dyDescent="0.25">
      <c r="E61" s="2" t="s">
        <v>87</v>
      </c>
      <c r="G61" s="1" t="str">
        <f>'Referance - Row'!$C$11&amp;$B$15&amp;'Referance - Row'!$D$11&amp;'Referance - Column'!AI7&amp;'Referance - Row'!$E$11</f>
        <v>Start-CMContentDistribution -PackageName “MPHAPPS InH CiscoAnyConectCleanup (V5.3)” -DistributionPointName "SRVBAN09SSSVM01.CORP.MPHASIS.COM"</v>
      </c>
    </row>
    <row r="62" spans="5:7" x14ac:dyDescent="0.25">
      <c r="E62" s="2" t="s">
        <v>70</v>
      </c>
      <c r="G62" s="1" t="str">
        <f>'Referance - Row'!$C$11&amp;$B$15&amp;'Referance - Row'!$D$11&amp;'Referance - Column'!AI8&amp;'Referance - Row'!$E$11</f>
        <v>Start-CMContentDistribution -PackageName “MPHAPPS InH CiscoAnyConectCleanup (V5.3)” -DistributionPointName "SRVBAN04SSSVM01.CORP.MPHASIS.COM"</v>
      </c>
    </row>
    <row r="63" spans="5:7" x14ac:dyDescent="0.25">
      <c r="E63" s="2" t="s">
        <v>84</v>
      </c>
      <c r="G63" s="1" t="str">
        <f>'Referance - Row'!$C$11&amp;$B$15&amp;'Referance - Row'!$D$11&amp;'Referance - Column'!AI9&amp;'Referance - Row'!$E$11</f>
        <v>Start-CMContentDistribution -PackageName “MPHAPPS InH CiscoAnyConectCleanup (V5.3)” -DistributionPointName "SRVMAN01SSSVM01.CORP.MPHASIS.COM"</v>
      </c>
    </row>
    <row r="64" spans="5:7" x14ac:dyDescent="0.25">
      <c r="E64" s="2" t="s">
        <v>86</v>
      </c>
      <c r="G64" s="1" t="str">
        <f>'Referance - Row'!$C$11&amp;$B$15&amp;'Referance - Row'!$D$11&amp;'Referance - Column'!AI10&amp;'Referance - Row'!$E$11</f>
        <v>Start-CMContentDistribution -PackageName “MPHAPPS InH CiscoAnyConectCleanup (V5.3)” -DistributionPointName "SRVCHE03SSSVM01.CORP.MPHASIS.COM"</v>
      </c>
    </row>
    <row r="65" spans="5:20" x14ac:dyDescent="0.25">
      <c r="E65" s="2" t="s">
        <v>71</v>
      </c>
      <c r="G65" s="1" t="str">
        <f>'Referance - Row'!$C$11&amp;$B$15&amp;'Referance - Row'!$D$11&amp;'Referance - Column'!AI11&amp;'Referance - Row'!$E$11</f>
        <v>Start-CMContentDistribution -PackageName “MPHAPPS InH CiscoAnyConectCleanup (V5.3)” -DistributionPointName "SRVBAN24SSSVM01.CORP.MPHASIS.COM"</v>
      </c>
    </row>
    <row r="66" spans="5:20" ht="15.75" customHeight="1" x14ac:dyDescent="0.25">
      <c r="E66" s="2" t="s">
        <v>72</v>
      </c>
      <c r="G66" s="1" t="str">
        <f>'Referance - Row'!$C$11&amp;$B$15&amp;'Referance - Row'!$D$11&amp;'Referance - Column'!AI12&amp;'Referance - Row'!$E$11</f>
        <v>Start-CMContentDistribution -PackageName “MPHAPPS InH CiscoAnyConectCleanup (V5.3)” -DistributionPointName "SRVPOL01SSSVM01.CORP.MPHASIS.COM"</v>
      </c>
    </row>
    <row r="67" spans="5:20" x14ac:dyDescent="0.25">
      <c r="E67" s="2" t="s">
        <v>85</v>
      </c>
      <c r="G67" s="1" t="str">
        <f>'Referance - Row'!$C$11&amp;$B$15&amp;'Referance - Row'!$D$11&amp;'Referance - Column'!AI13&amp;'Referance - Row'!$E$11</f>
        <v>Start-CMContentDistribution -PackageName “MPHAPPS InH CiscoAnyConectCleanup (V5.3)” -DistributionPointName "SRVHYD03SCCMPH1.CORP.MPHASIS.COM"</v>
      </c>
    </row>
    <row r="69" spans="5:20" x14ac:dyDescent="0.25">
      <c r="E69" s="3" t="s">
        <v>97</v>
      </c>
      <c r="G69" s="1" t="str">
        <f>'Referance - Row'!$C$14&amp;$B$15&amp;'Referance - Row'!$D$14&amp;$B$18&amp;'Referance - Row'!$E$14&amp;$B$27&amp;'Referance - Row'!$F$14&amp;B30&amp;'Referance - Row'!$G$14&amp;$B$31&amp;'Referance - Row'!$H$14&amp;$B$32&amp;'Referance - Row'!$I$14&amp;$B$33&amp;'Referance - Row'!$J$14&amp;B34</f>
        <v>New-CMPackageDeployment -StandardProgram –PackageName "MPHAPPS InH CiscoAnyConectCleanup (V5.3)" –StandardProgramName "MPHAPPS InH CiscoAnyConectCleanup (V5.3)-Install" –CollectionName "MPHAPPS InH CiscoAnyConectCleanup (V5.3)-Install" –ScheduleEvent AsSoonAsPossible –RerunBehavior RerunIfFailedPreviousAttempt –SystemRestart 0 –FastNetworkOption DownloadContentFromDistributionPointAndRunLocally –SlowNetworkOption DownloadContentFromDistributionPointAndLocally</v>
      </c>
    </row>
    <row r="70" spans="5:20" x14ac:dyDescent="0.25">
      <c r="E70" s="3" t="s">
        <v>100</v>
      </c>
      <c r="G70" s="1" t="str">
        <f>'Referance - Row'!$C$15&amp;$B$15&amp;'Referance - Row'!$D$15&amp;$B$18&amp;'Referance - Row'!$E$15&amp;$B$27&amp;'Referance - Row'!$F$15&amp;B30&amp;'Referance - Row'!$G$15&amp;$B$31&amp;'Referance - Row'!$H$15&amp;$B$32&amp;'Referance - Row'!$I$15&amp;$B$33&amp;'Referance - Row'!$J$15&amp;B34</f>
        <v>New-CMPackageDeployment -StandardProgram –PackageName "MPHAPPS InH CiscoAnyConectCleanup (V5.3)" –StandardProgramName "MPHAPPS InH CiscoAnyConectCleanup (V5.3)-UnInstall" –CollectionName "MPHAPPS InH CiscoAnyConectCleanup (V5.3)-UnInstall" –ScheduleEvent AsSoonAsPossible –RerunBehavior RerunIfFailedPreviousAttempt –SystemRestart 0 –FastNetworkOption DownloadContentFromDistributionPointAndRunLocally –SlowNetworkOption DownloadContentFromDistributionPointAndLocally</v>
      </c>
    </row>
    <row r="71" spans="5:20" x14ac:dyDescent="0.25">
      <c r="E71" s="5"/>
    </row>
    <row r="72" spans="5:20" x14ac:dyDescent="0.25">
      <c r="E72" s="3" t="s">
        <v>176</v>
      </c>
      <c r="G72" s="1" t="str">
        <f>'Referance - Row'!C23&amp;$B$27&amp;'Referance - Row'!D23&amp;'PS SCript Builder'!$B$36&amp;'Referance - Row'!E23</f>
        <v>Add-CMDeviceCollectionIncludeMembershipRule -CollectionName "MPHAPPS InH CiscoAnyConectCleanup (V5.3)-Install" -IncludeCollectionName "MPHAPPS Deployment Test Systems - All Locations"</v>
      </c>
    </row>
    <row r="73" spans="5:20" x14ac:dyDescent="0.25">
      <c r="E73" s="3" t="s">
        <v>177</v>
      </c>
      <c r="G73" s="1" t="str">
        <f>'Referance - Row'!C24&amp;$B$27&amp;'Referance - Row'!D24&amp;'PS SCript Builder'!$B$36&amp;'Referance - Row'!E24</f>
        <v>Add-CMDeviceCollectionIncludeMembershipRule -CollectionName "MPHAPPS InH CiscoAnyConectCleanup (V5.3)-Uninstall" -IncludeCollectionName "MPHAPPS Deployment Test Systems - All Locations"</v>
      </c>
    </row>
    <row r="74" spans="5:20" x14ac:dyDescent="0.25">
      <c r="E74" s="5"/>
    </row>
    <row r="75" spans="5:20" x14ac:dyDescent="0.25">
      <c r="E75" s="30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</row>
    <row r="76" spans="5:20" x14ac:dyDescent="0.25">
      <c r="E76" s="5"/>
    </row>
    <row r="77" spans="5:20" x14ac:dyDescent="0.25">
      <c r="E77" s="3" t="s">
        <v>180</v>
      </c>
      <c r="G77" s="1" t="str">
        <f>'Referance - Row'!C29&amp;$B$27&amp;'Referance - Row'!D29&amp;'PS SCript Builder'!$B$37&amp;'Referance - Row'!E29</f>
        <v>Add-CMDeviceCollectionIncludeMembershipRule -CollectionName "MPHAPPS InH CiscoAnyConectCleanup (V5.3)-install" -IncludeCollectionName "All Windows Workstation or Professional Systems"</v>
      </c>
    </row>
    <row r="78" spans="5:20" x14ac:dyDescent="0.25">
      <c r="E78" s="3" t="s">
        <v>181</v>
      </c>
      <c r="G78" s="1" t="str">
        <f>'Referance - Row'!C30&amp;$B$27&amp;'Referance - Row'!D30&amp;'PS SCript Builder'!$B$37&amp;'Referance - Row'!E30</f>
        <v>Add-CMDeviceCollectionIncludeMembershipRule -CollectionName "MPHAPPS InH CiscoAnyConectCleanup (V5.3)-Uninstall" -IncludeCollectionName "All Windows Workstation or Professional Systems"</v>
      </c>
    </row>
    <row r="80" spans="5:20" x14ac:dyDescent="0.25">
      <c r="E80" s="30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</row>
    <row r="81" spans="5:20" x14ac:dyDescent="0.25">
      <c r="G81" s="1" t="s">
        <v>167</v>
      </c>
    </row>
    <row r="82" spans="5:20" x14ac:dyDescent="0.25">
      <c r="E82" s="2" t="s">
        <v>130</v>
      </c>
      <c r="G82" s="1" t="str">
        <f>'Referance - Row'!C18&amp;'PS SCript Builder'!B15&amp;'Referance - Row'!D18</f>
        <v>Remove-CMPackage -Name "MPHAPPS InH CiscoAnyConectCleanup (V5.3)" -force</v>
      </c>
    </row>
    <row r="84" spans="5:20" x14ac:dyDescent="0.25">
      <c r="E84" s="2" t="s">
        <v>131</v>
      </c>
      <c r="G84" s="1" t="str">
        <f>'Referance - Row'!C20&amp;'PS SCript Builder'!B27&amp;'Referance - Row'!D20</f>
        <v>Remove-CMDeviceCollection -Name "MPHAPPS InH CiscoAnyConectCleanup (V5.3)-Install" -force</v>
      </c>
    </row>
    <row r="85" spans="5:20" x14ac:dyDescent="0.25">
      <c r="E85" s="2" t="s">
        <v>132</v>
      </c>
      <c r="G85" s="1" t="str">
        <f>'Referance - Row'!C21&amp;'PS SCript Builder'!B27&amp;'Referance - Row'!D21</f>
        <v>Remove-CMDeviceCollection -Name "MPHAPPS InH CiscoAnyConectCleanup (V5.3)-UnInstall" -force</v>
      </c>
    </row>
    <row r="86" spans="5:20" x14ac:dyDescent="0.25">
      <c r="G86" s="1" t="s">
        <v>167</v>
      </c>
    </row>
    <row r="88" spans="5:20" x14ac:dyDescent="0.25">
      <c r="E88" s="3" t="s">
        <v>178</v>
      </c>
      <c r="G88" s="1" t="str">
        <f>'Referance - Row'!C26&amp;$B$27&amp;'Referance - Row'!D26&amp;'PS SCript Builder'!$B$36&amp;'Referance - Row'!E26</f>
        <v>Remove-CMDeviceCollectionIncludeMembershipRule -CollectionName "MPHAPPS InH CiscoAnyConectCleanup (V5.3)-install" -IncludeCollectionName "MPHAPPS Deployment Test Systems - All Locations" -force</v>
      </c>
    </row>
    <row r="89" spans="5:20" x14ac:dyDescent="0.25">
      <c r="E89" s="3" t="s">
        <v>179</v>
      </c>
      <c r="G89" s="1" t="str">
        <f>'Referance - Row'!C27&amp;$B$27&amp;'Referance - Row'!D27&amp;'PS SCript Builder'!$B$36&amp;'Referance - Row'!E27</f>
        <v>Remove-CMDeviceCollectionIncludeMembershipRule -CollectionName "MPHAPPS InH CiscoAnyConectCleanup (V5.3)-Uninstall" -IncludeCollectionName "MPHAPPS Deployment Test Systems - All Locations" -force</v>
      </c>
    </row>
    <row r="91" spans="5:20" x14ac:dyDescent="0.25">
      <c r="E91" s="3" t="s">
        <v>182</v>
      </c>
      <c r="G91" s="1" t="str">
        <f>'Referance - Row'!C32&amp;$B$27&amp;'Referance - Row'!D32&amp;'PS SCript Builder'!$B$37&amp;'Referance - Row'!E32</f>
        <v>Remove-CMDeviceCollectionIncludeMembershipRule -CollectionName "MPHAPPS InH CiscoAnyConectCleanup (V5.3)-install" -IncludeCollectionName "All Windows Workstation or Professional Systems" -force</v>
      </c>
    </row>
    <row r="92" spans="5:20" x14ac:dyDescent="0.25">
      <c r="E92" s="3" t="s">
        <v>183</v>
      </c>
      <c r="G92" s="1" t="str">
        <f>'Referance - Row'!C33&amp;$B$27&amp;'Referance - Row'!D33&amp;'PS SCript Builder'!$B$37&amp;'Referance - Row'!E33</f>
        <v>Remove-CMDeviceCollectionIncludeMembershipRule -CollectionName "MPHAPPS InH CiscoAnyConectCleanup (V5.3)-Uninstall" -IncludeCollectionName "All Windows Workstation or Professional Systems" -force</v>
      </c>
    </row>
    <row r="94" spans="5:20" x14ac:dyDescent="0.25">
      <c r="E94" s="28"/>
      <c r="F94" s="28"/>
      <c r="G94" s="29" t="s">
        <v>175</v>
      </c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</row>
    <row r="95" spans="5:20" x14ac:dyDescent="0.25">
      <c r="G95" s="27">
        <f ca="1">TODAY()</f>
        <v>44777</v>
      </c>
      <c r="I95" s="20">
        <f ca="1">NOW()</f>
        <v>44777.024574189818</v>
      </c>
    </row>
    <row r="96" spans="5:20" x14ac:dyDescent="0.25">
      <c r="E96" s="2" t="s">
        <v>88</v>
      </c>
      <c r="G96" s="1" t="str">
        <f>'Referance - Row'!C2&amp;B15&amp;'Referance - Row'!D2&amp;B16&amp;'Referance - Row'!E2&amp;B2&amp;'Referance - Row'!F2&amp;B6&amp;'Referance - Row'!G2&amp;B4&amp;'Referance - Row'!H2&amp;B7&amp;'Referance - Row'!I2</f>
        <v>New-CMPackage -Name "MPHAPPS InH CiscoAnyConectCleanup (V5.3)" -Description "MPHAPPS InH CiscoAnyConectCleanup (V5.3)" -Manufacturer "InH" -Language "" -Version "(V5.3)" -Path "\\172.16.100.56\Package_Source\Cleanup_Tools\CiscoAnyConnectCleanupToolV5.3\"</v>
      </c>
    </row>
    <row r="98" spans="5:7" x14ac:dyDescent="0.25">
      <c r="E98" s="2" t="s">
        <v>95</v>
      </c>
      <c r="G98" s="1" t="str">
        <f>'Referance - Row'!C4&amp;B15&amp;'Referance - Row'!D4&amp;B18&amp;'Referance - Row'!E4&amp;B19&amp;'Referance - Row'!F4&amp;B20&amp;'Referance - Row'!G4&amp;B21&amp;'Referance - Row'!H4&amp;B22&amp;'Referance - Row'!I4&amp;B23&amp;'Referance - Row'!J4&amp;B24&amp;'Referance - Row'!K4&amp;B25&amp;'Referance - Row'!L4&amp;B8&amp;'Referance - Row'!M4</f>
        <v>New-CMProgram -PackageName "MPHAPPS InH CiscoAnyConectCleanup (V5.3)" -StandardProgramName "MPHAPPS InH CiscoAnyConectCleanup (V5.3)-Install" -DiskSpaceRequirement 5 -DiskSpaceUnit GB -Duration 20 -RunType "Normal" -ProgramRunType "WhetherOrNotUserIsLoggedOn" -RunMode "RunWithAdministrativeRights" -UserInteraction 0 -CommandLine "CiscoAnyConnectCleanupToolV5.3.exe"</v>
      </c>
    </row>
    <row r="100" spans="5:7" x14ac:dyDescent="0.25">
      <c r="E100" s="2" t="s">
        <v>96</v>
      </c>
      <c r="G100" s="1" t="str">
        <f>'Referance - Row'!C8&amp;B27&amp;'Referance - Row'!D8&amp;B28&amp;'Referance - Row'!E8</f>
        <v>New-CMDeviceCollection -Name "MPHAPPS InH CiscoAnyConectCleanup (V5.3)-install" -LimitingCollectionName "All Windows Workstation or Professional Systems"</v>
      </c>
    </row>
    <row r="102" spans="5:7" x14ac:dyDescent="0.25">
      <c r="E102" s="2" t="s">
        <v>143</v>
      </c>
    </row>
    <row r="103" spans="5:7" x14ac:dyDescent="0.25">
      <c r="E103" s="2" t="s">
        <v>65</v>
      </c>
      <c r="G103" s="1" t="str">
        <f>'Referance - Row'!$C$11&amp;$B$15&amp;'Referance - Row'!$D$11&amp;'Referance - Column'!AI2&amp;'Referance - Row'!$E$11</f>
        <v>Start-CMContentDistribution -PackageName “MPHAPPS InH CiscoAnyConectCleanup (V5.3)” -DistributionPointName "SRVPUN02SSSVM01.CORP.MPHASIS.COM"</v>
      </c>
    </row>
    <row r="104" spans="5:7" x14ac:dyDescent="0.25">
      <c r="E104" s="2" t="s">
        <v>66</v>
      </c>
      <c r="G104" s="1" t="str">
        <f>'Referance - Row'!$C$11&amp;$B$15&amp;'Referance - Row'!$D$11&amp;'Referance - Column'!AI3&amp;'Referance - Row'!$E$11</f>
        <v>Start-CMContentDistribution -PackageName “MPHAPPS InH CiscoAnyConectCleanup (V5.3)” -DistributionPointName "SRVBAN19IBCMVM1.CORP.MPHASIS.COM"</v>
      </c>
    </row>
    <row r="105" spans="5:7" x14ac:dyDescent="0.25">
      <c r="E105" s="2" t="s">
        <v>67</v>
      </c>
      <c r="G105" s="1" t="str">
        <f>'Referance - Row'!$C$11&amp;$B$15&amp;'Referance - Row'!$D$11&amp;'Referance - Column'!AI4&amp;'Referance - Row'!$E$11</f>
        <v>Start-CMContentDistribution -PackageName “MPHAPPS InH CiscoAnyConectCleanup (V5.3)” -DistributionPointName "SRVBAN19SMDPVM1.CORP.MPHASIS.COM"</v>
      </c>
    </row>
    <row r="106" spans="5:7" x14ac:dyDescent="0.25">
      <c r="E106" s="2" t="s">
        <v>68</v>
      </c>
      <c r="G106" s="1" t="str">
        <f>'Referance - Row'!$C$11&amp;$B$15&amp;'Referance - Row'!$D$11&amp;'Referance - Column'!AI5&amp;'Referance - Row'!$E$11</f>
        <v>Start-CMContentDistribution -PackageName “MPHAPPS InH CiscoAnyConectCleanup (V5.3)” -DistributionPointName "SRVPUN05SSSVM01.CORP.MPHASIS.COM"</v>
      </c>
    </row>
    <row r="107" spans="5:7" x14ac:dyDescent="0.25">
      <c r="E107" s="2" t="s">
        <v>69</v>
      </c>
      <c r="G107" s="1" t="str">
        <f>'Referance - Row'!$C$11&amp;$B$15&amp;'Referance - Row'!$D$11&amp;'Referance - Column'!AI6&amp;'Referance - Row'!$E$11</f>
        <v>Start-CMContentDistribution -PackageName “MPHAPPS InH CiscoAnyConectCleanup (V5.3)” -DistributionPointName "SRVMUM06SSSVM01.CORP.MPHASIS.COM"</v>
      </c>
    </row>
    <row r="108" spans="5:7" x14ac:dyDescent="0.25">
      <c r="E108" s="2" t="s">
        <v>87</v>
      </c>
      <c r="G108" s="1" t="str">
        <f>'Referance - Row'!$C$11&amp;$B$15&amp;'Referance - Row'!$D$11&amp;'Referance - Column'!AI7&amp;'Referance - Row'!$E$11</f>
        <v>Start-CMContentDistribution -PackageName “MPHAPPS InH CiscoAnyConectCleanup (V5.3)” -DistributionPointName "SRVBAN09SSSVM01.CORP.MPHASIS.COM"</v>
      </c>
    </row>
    <row r="109" spans="5:7" x14ac:dyDescent="0.25">
      <c r="E109" s="2" t="s">
        <v>70</v>
      </c>
      <c r="G109" s="1" t="str">
        <f>'Referance - Row'!$C$11&amp;$B$15&amp;'Referance - Row'!$D$11&amp;'Referance - Column'!AI8&amp;'Referance - Row'!$E$11</f>
        <v>Start-CMContentDistribution -PackageName “MPHAPPS InH CiscoAnyConectCleanup (V5.3)” -DistributionPointName "SRVBAN04SSSVM01.CORP.MPHASIS.COM"</v>
      </c>
    </row>
    <row r="110" spans="5:7" x14ac:dyDescent="0.25">
      <c r="E110" s="2" t="s">
        <v>84</v>
      </c>
      <c r="G110" s="1" t="str">
        <f>'Referance - Row'!$C$11&amp;$B$15&amp;'Referance - Row'!$D$11&amp;'Referance - Column'!AI9&amp;'Referance - Row'!$E$11</f>
        <v>Start-CMContentDistribution -PackageName “MPHAPPS InH CiscoAnyConectCleanup (V5.3)” -DistributionPointName "SRVMAN01SSSVM01.CORP.MPHASIS.COM"</v>
      </c>
    </row>
    <row r="111" spans="5:7" x14ac:dyDescent="0.25">
      <c r="E111" s="2" t="s">
        <v>86</v>
      </c>
      <c r="G111" s="1" t="str">
        <f>'Referance - Row'!$C$11&amp;$B$15&amp;'Referance - Row'!$D$11&amp;'Referance - Column'!AI10&amp;'Referance - Row'!$E$11</f>
        <v>Start-CMContentDistribution -PackageName “MPHAPPS InH CiscoAnyConectCleanup (V5.3)” -DistributionPointName "SRVCHE03SSSVM01.CORP.MPHASIS.COM"</v>
      </c>
    </row>
    <row r="112" spans="5:7" x14ac:dyDescent="0.25">
      <c r="E112" s="2" t="s">
        <v>71</v>
      </c>
      <c r="G112" s="1" t="str">
        <f>'Referance - Row'!$C$11&amp;$B$15&amp;'Referance - Row'!$D$11&amp;'Referance - Column'!AI11&amp;'Referance - Row'!$E$11</f>
        <v>Start-CMContentDistribution -PackageName “MPHAPPS InH CiscoAnyConectCleanup (V5.3)” -DistributionPointName "SRVBAN24SSSVM01.CORP.MPHASIS.COM"</v>
      </c>
    </row>
    <row r="113" spans="5:20" x14ac:dyDescent="0.25">
      <c r="E113" s="2" t="s">
        <v>72</v>
      </c>
      <c r="G113" s="1" t="str">
        <f>'Referance - Row'!$C$11&amp;$B$15&amp;'Referance - Row'!$D$11&amp;'Referance - Column'!AI12&amp;'Referance - Row'!$E$11</f>
        <v>Start-CMContentDistribution -PackageName “MPHAPPS InH CiscoAnyConectCleanup (V5.3)” -DistributionPointName "SRVPOL01SSSVM01.CORP.MPHASIS.COM"</v>
      </c>
    </row>
    <row r="114" spans="5:20" x14ac:dyDescent="0.25">
      <c r="E114" s="2" t="s">
        <v>85</v>
      </c>
      <c r="G114" s="1" t="str">
        <f>'Referance - Row'!$C$11&amp;$B$15&amp;'Referance - Row'!$D$11&amp;'Referance - Column'!AI13&amp;'Referance - Row'!$E$11</f>
        <v>Start-CMContentDistribution -PackageName “MPHAPPS InH CiscoAnyConectCleanup (V5.3)” -DistributionPointName "SRVHYD03SCCMPH1.CORP.MPHASIS.COM"</v>
      </c>
    </row>
    <row r="116" spans="5:20" x14ac:dyDescent="0.25">
      <c r="E116" s="2" t="s">
        <v>97</v>
      </c>
      <c r="G116" s="1" t="str">
        <f>'Referance - Row'!$C$14&amp;$B$15&amp;'Referance - Row'!$D$14&amp;$B$18&amp;'Referance - Row'!$E$14&amp;$B$27&amp;'Referance - Row'!$F$14&amp;B30&amp;'Referance - Row'!$G$14&amp;$B$31&amp;'Referance - Row'!$H$14&amp;$B$32&amp;'Referance - Row'!$I$14&amp;$B$33&amp;'Referance - Row'!$J$14&amp;B34</f>
        <v>New-CMPackageDeployment -StandardProgram –PackageName "MPHAPPS InH CiscoAnyConectCleanup (V5.3)" –StandardProgramName "MPHAPPS InH CiscoAnyConectCleanup (V5.3)-Install" –CollectionName "MPHAPPS InH CiscoAnyConectCleanup (V5.3)-Install" –ScheduleEvent AsSoonAsPossible –RerunBehavior RerunIfFailedPreviousAttempt –SystemRestart 0 –FastNetworkOption DownloadContentFromDistributionPointAndRunLocally –SlowNetworkOption DownloadContentFromDistributionPointAndLocally</v>
      </c>
    </row>
    <row r="118" spans="5:20" x14ac:dyDescent="0.25">
      <c r="E118" s="2" t="s">
        <v>176</v>
      </c>
      <c r="G118" s="1" t="str">
        <f>'Referance - Row'!C23&amp;$B$27&amp;'Referance - Row'!D23&amp;'PS SCript Builder'!$B$36&amp;'Referance - Row'!E23</f>
        <v>Add-CMDeviceCollectionIncludeMembershipRule -CollectionName "MPHAPPS InH CiscoAnyConectCleanup (V5.3)-Install" -IncludeCollectionName "MPHAPPS Deployment Test Systems - All Locations"</v>
      </c>
    </row>
    <row r="120" spans="5:20" x14ac:dyDescent="0.25"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</row>
    <row r="122" spans="5:20" x14ac:dyDescent="0.25">
      <c r="E122" s="2" t="s">
        <v>180</v>
      </c>
      <c r="G122" s="1" t="str">
        <f>'Referance - Row'!C29&amp;$B$27&amp;'Referance - Row'!D29&amp;'PS SCript Builder'!$B$37&amp;'Referance - Row'!E29</f>
        <v>Add-CMDeviceCollectionIncludeMembershipRule -CollectionName "MPHAPPS InH CiscoAnyConectCleanup (V5.3)-install" -IncludeCollectionName "All Windows Workstation or Professional Systems"</v>
      </c>
    </row>
    <row r="124" spans="5:20" x14ac:dyDescent="0.25">
      <c r="G124" s="1" t="s">
        <v>167</v>
      </c>
    </row>
    <row r="125" spans="5:20" x14ac:dyDescent="0.25">
      <c r="E125" s="2" t="s">
        <v>130</v>
      </c>
      <c r="G125" s="1" t="str">
        <f>'Referance - Row'!C18&amp;'PS SCript Builder'!B15&amp;'Referance - Row'!D18</f>
        <v>Remove-CMPackage -Name "MPHAPPS InH CiscoAnyConectCleanup (V5.3)" -force</v>
      </c>
    </row>
    <row r="127" spans="5:20" x14ac:dyDescent="0.25">
      <c r="E127" s="2" t="s">
        <v>131</v>
      </c>
      <c r="G127" s="1" t="str">
        <f>'Referance - Row'!C20&amp;'PS SCript Builder'!B27&amp;'Referance - Row'!D20</f>
        <v>Remove-CMDeviceCollection -Name "MPHAPPS InH CiscoAnyConectCleanup (V5.3)-Install" -force</v>
      </c>
    </row>
    <row r="128" spans="5:20" x14ac:dyDescent="0.25">
      <c r="G128" s="1" t="s">
        <v>167</v>
      </c>
    </row>
    <row r="130" spans="5:7" x14ac:dyDescent="0.25">
      <c r="E130" s="2" t="s">
        <v>196</v>
      </c>
      <c r="G130" s="1" t="str">
        <f>'Referance - Row'!C26&amp;$B$27&amp;'Referance - Row'!D26&amp;'PS SCript Builder'!$B$36&amp;'Referance - Row'!E26</f>
        <v>Remove-CMDeviceCollectionIncludeMembershipRule -CollectionName "MPHAPPS InH CiscoAnyConectCleanup (V5.3)-install" -IncludeCollectionName "MPHAPPS Deployment Test Systems - All Locations" -force</v>
      </c>
    </row>
    <row r="132" spans="5:7" x14ac:dyDescent="0.25">
      <c r="E132" s="2" t="s">
        <v>197</v>
      </c>
      <c r="G132" s="1" t="str">
        <f>'Referance - Row'!C32&amp;$B$27&amp;'Referance - Row'!D32&amp;'PS SCript Builder'!$B$37&amp;'Referance - Row'!E32</f>
        <v>Remove-CMDeviceCollectionIncludeMembershipRule -CollectionName "MPHAPPS InH CiscoAnyConectCleanup (V5.3)-install" -IncludeCollectionName "All Windows Workstation or Professional Systems" -force</v>
      </c>
    </row>
  </sheetData>
  <autoFilter ref="E10:E22" xr:uid="{DA58EA2C-8D73-48E9-8C7D-6E4717FB2AE1}"/>
  <conditionalFormatting sqref="D2:D3">
    <cfRule type="cellIs" dxfId="5" priority="1" operator="lessThan">
      <formula>51</formula>
    </cfRule>
    <cfRule type="cellIs" dxfId="4" priority="2" operator="between">
      <formula>0</formula>
      <formula>50</formula>
    </cfRule>
    <cfRule type="cellIs" dxfId="3" priority="3" operator="lessThan">
      <formula>50</formula>
    </cfRule>
    <cfRule type="cellIs" dxfId="2" priority="4" operator="greaterThan">
      <formula>51</formula>
    </cfRule>
    <cfRule type="cellIs" dxfId="1" priority="5" operator="greaterThan">
      <formula>50</formula>
    </cfRule>
    <cfRule type="cellIs" dxfId="0" priority="6" operator="greaterThan">
      <formula>50</formula>
    </cfRule>
  </conditionalFormatting>
  <dataValidations count="1">
    <dataValidation type="decimal" allowBlank="1" showInputMessage="1" errorTitle="Install &gt;50!!!" error="Exceeded maximum number of characters for Install collection!!!" sqref="D2" xr:uid="{4BB2BF4C-F7CB-4DE7-98A3-1E2892FC70FD}">
      <formula1>1</formula1>
      <formula2>50</formula2>
    </dataValidation>
  </dataValidations>
  <hyperlinks>
    <hyperlink ref="B7" r:id="rId1" xr:uid="{1DACDACA-995A-439D-A9F3-716E075122CE}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7FEDE956-A871-40F7-8752-D2CC986576CD}">
          <x14:formula1>
            <xm:f>'Referance - Column'!$F$2:$F$11</xm:f>
          </x14:formula1>
          <xm:sqref>B19:D19</xm:sqref>
        </x14:dataValidation>
        <x14:dataValidation type="list" allowBlank="1" showInputMessage="1" showErrorMessage="1" xr:uid="{AF5FE7DE-ACA5-489A-A421-D7931455AA16}">
          <x14:formula1>
            <xm:f>'Referance - Column'!$H$2:$H$4</xm:f>
          </x14:formula1>
          <xm:sqref>B20:D20</xm:sqref>
        </x14:dataValidation>
        <x14:dataValidation type="list" allowBlank="1" showInputMessage="1" showErrorMessage="1" xr:uid="{5BC6AC1E-7C41-4868-91C4-4AF68D09F733}">
          <x14:formula1>
            <xm:f>'Referance - Column'!$M$2:$M$5</xm:f>
          </x14:formula1>
          <xm:sqref>B22:D22</xm:sqref>
        </x14:dataValidation>
        <x14:dataValidation type="list" allowBlank="1" showInputMessage="1" showErrorMessage="1" xr:uid="{9769AC44-587C-4EBE-831C-AF03EDE4EF03}">
          <x14:formula1>
            <xm:f>'Referance - Column'!$O$2:$O$5</xm:f>
          </x14:formula1>
          <xm:sqref>B23:D23</xm:sqref>
        </x14:dataValidation>
        <x14:dataValidation type="list" allowBlank="1" showInputMessage="1" showErrorMessage="1" xr:uid="{A14FAA04-9536-4908-BCD0-0649A1705E72}">
          <x14:formula1>
            <xm:f>'Referance - Column'!$Q$2:$Q$3</xm:f>
          </x14:formula1>
          <xm:sqref>B24:D24</xm:sqref>
        </x14:dataValidation>
        <x14:dataValidation type="list" allowBlank="1" showInputMessage="1" showErrorMessage="1" xr:uid="{15B0A946-5047-41DC-A959-9D99D8A1D3F4}">
          <x14:formula1>
            <xm:f>'Referance - Column'!$W$2:$W$4</xm:f>
          </x14:formula1>
          <xm:sqref>B30:D30</xm:sqref>
        </x14:dataValidation>
        <x14:dataValidation type="list" allowBlank="1" showInputMessage="1" showErrorMessage="1" xr:uid="{B3F2D469-D911-485C-812F-452E755DC365}">
          <x14:formula1>
            <xm:f>'Referance - Column'!$Y$2:$Y$5</xm:f>
          </x14:formula1>
          <xm:sqref>B31:D31</xm:sqref>
        </x14:dataValidation>
        <x14:dataValidation type="list" allowBlank="1" showInputMessage="1" showErrorMessage="1" xr:uid="{B68BB8B8-6601-4B94-9628-B3D3DE4D5D1D}">
          <x14:formula1>
            <xm:f>'Referance - Column'!$AA$2:$AA$3</xm:f>
          </x14:formula1>
          <xm:sqref>B32:D32</xm:sqref>
        </x14:dataValidation>
        <x14:dataValidation type="list" allowBlank="1" showInputMessage="1" showErrorMessage="1" xr:uid="{2A7A4F2C-53E3-4689-8477-689D5D50AD93}">
          <x14:formula1>
            <xm:f>'Referance - Column'!$AC$2:$AC$3</xm:f>
          </x14:formula1>
          <xm:sqref>B33:D33</xm:sqref>
        </x14:dataValidation>
        <x14:dataValidation type="list" allowBlank="1" showInputMessage="1" showErrorMessage="1" xr:uid="{864FC6F5-A79D-419F-AFC6-9D61CD7804D5}">
          <x14:formula1>
            <xm:f>'Referance - Column'!$AE$2:$AE$4</xm:f>
          </x14:formula1>
          <xm:sqref>B34:D34</xm:sqref>
        </x14:dataValidation>
        <x14:dataValidation type="list" allowBlank="1" showInputMessage="1" showErrorMessage="1" xr:uid="{74374326-A602-4FF3-931B-B526D8B91CCF}">
          <x14:formula1>
            <xm:f>'Referance - Column'!$K$2:$K$22</xm:f>
          </x14:formula1>
          <xm:sqref>B21:D21</xm:sqref>
        </x14:dataValidation>
        <x14:dataValidation type="list" allowBlank="1" showInputMessage="1" showErrorMessage="1" xr:uid="{251120EB-2DFE-4337-B775-5419FE20F0F6}">
          <x14:formula1>
            <xm:f>'Referance - Column'!$S$2:$S$3</xm:f>
          </x14:formula1>
          <xm:sqref>B25:D25</xm:sqref>
        </x14:dataValidation>
        <x14:dataValidation type="list" showInputMessage="1" showErrorMessage="1" xr:uid="{FA0F3D91-ACE1-46B2-8C14-DA6156248189}">
          <x14:formula1>
            <xm:f>'Referance - Column'!$U$2:$U$4</xm:f>
          </x14:formula1>
          <xm:sqref>B5</xm:sqref>
        </x14:dataValidation>
        <x14:dataValidation type="list" allowBlank="1" showInputMessage="1" showErrorMessage="1" xr:uid="{B4DCE7CC-E929-47F4-807E-A003D6BD2C51}">
          <x14:formula1>
            <xm:f>'Referance - Column'!$C$16:$C$24</xm:f>
          </x14:formula1>
          <xm:sqref>E11:E12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B2:E28"/>
  <sheetViews>
    <sheetView topLeftCell="A16" workbookViewId="0">
      <selection activeCell="C37" sqref="C37"/>
    </sheetView>
  </sheetViews>
  <sheetFormatPr defaultRowHeight="15" x14ac:dyDescent="0.25"/>
  <cols>
    <col min="2" max="2" width="40.5703125" customWidth="1"/>
    <col min="3" max="3" width="50.5703125" bestFit="1" customWidth="1"/>
  </cols>
  <sheetData>
    <row r="2" spans="2:5" x14ac:dyDescent="0.25">
      <c r="B2" s="35" t="str">
        <f>"Package for "&amp;'PS SCript Builder'!B2&amp;" "&amp;'PS SCript Builder'!B3&amp;" "&amp;'PS SCript Builder'!B4&amp;" "&amp;'PS SCript Builder'!B5&amp;" "&amp;'PS SCript Builder'!B6</f>
        <v xml:space="preserve">Package for InH CiscoAnyConectCleanup (V5.3)  </v>
      </c>
      <c r="C2" s="35"/>
    </row>
    <row r="3" spans="2:5" x14ac:dyDescent="0.25">
      <c r="B3" s="15" t="s">
        <v>0</v>
      </c>
      <c r="C3" s="16" t="str">
        <f>'PS SCript Builder'!B1</f>
        <v>MPHAPPS</v>
      </c>
    </row>
    <row r="4" spans="2:5" x14ac:dyDescent="0.25">
      <c r="B4" s="15" t="s">
        <v>2</v>
      </c>
      <c r="C4" s="16" t="str">
        <f>'PS SCript Builder'!B2</f>
        <v>InH</v>
      </c>
    </row>
    <row r="5" spans="2:5" x14ac:dyDescent="0.25">
      <c r="B5" s="15" t="s">
        <v>7</v>
      </c>
      <c r="C5" s="16" t="str">
        <f>'PS SCript Builder'!B3</f>
        <v>CiscoAnyConectCleanup</v>
      </c>
    </row>
    <row r="6" spans="2:5" x14ac:dyDescent="0.25">
      <c r="B6" s="15" t="s">
        <v>3</v>
      </c>
      <c r="C6" s="16" t="str">
        <f>'PS SCript Builder'!B4</f>
        <v>(V5.3)</v>
      </c>
    </row>
    <row r="7" spans="2:5" x14ac:dyDescent="0.25">
      <c r="B7" s="15" t="s">
        <v>6</v>
      </c>
      <c r="C7" s="16">
        <f>'PS SCript Builder'!B6</f>
        <v>0</v>
      </c>
    </row>
    <row r="8" spans="2:5" x14ac:dyDescent="0.25">
      <c r="B8" s="15" t="s">
        <v>94</v>
      </c>
      <c r="C8" s="16">
        <f>'PS SCript Builder'!B5</f>
        <v>0</v>
      </c>
    </row>
    <row r="9" spans="2:5" x14ac:dyDescent="0.25">
      <c r="B9" s="15" t="s">
        <v>144</v>
      </c>
      <c r="C9" s="16" t="str">
        <f>'PS SCript Builder'!B15</f>
        <v>MPHAPPS InH CiscoAnyConectCleanup (V5.3)</v>
      </c>
    </row>
    <row r="10" spans="2:5" x14ac:dyDescent="0.25">
      <c r="B10" s="15" t="s">
        <v>156</v>
      </c>
      <c r="C10" s="16" t="str">
        <f>'PS SCript Builder'!B27&amp;"-Install"</f>
        <v>MPHAPPS InH CiscoAnyConectCleanup (V5.3)-Install</v>
      </c>
    </row>
    <row r="11" spans="2:5" x14ac:dyDescent="0.25">
      <c r="B11" s="15" t="s">
        <v>157</v>
      </c>
      <c r="C11" s="16" t="str">
        <f>'PS SCript Builder'!B27&amp;"-UnInstall"</f>
        <v>MPHAPPS InH CiscoAnyConectCleanup (V5.3)-UnInstall</v>
      </c>
      <c r="E11" s="1"/>
    </row>
    <row r="12" spans="2:5" x14ac:dyDescent="0.25">
      <c r="B12" s="15" t="s">
        <v>158</v>
      </c>
      <c r="C12" s="16" t="s">
        <v>163</v>
      </c>
    </row>
    <row r="13" spans="2:5" x14ac:dyDescent="0.25">
      <c r="B13" s="15" t="s">
        <v>164</v>
      </c>
      <c r="C13" s="16" t="str">
        <f>'PS SCript Builder'!B15&amp;"-Install"</f>
        <v>MPHAPPS InH CiscoAnyConectCleanup (V5.3)-Install</v>
      </c>
    </row>
    <row r="14" spans="2:5" s="1" customFormat="1" x14ac:dyDescent="0.25">
      <c r="B14" s="15" t="s">
        <v>165</v>
      </c>
      <c r="C14" s="16" t="str">
        <f>'PS SCript Builder'!B16&amp;"-UnInstall"</f>
        <v>MPHAPPS InH CiscoAnyConectCleanup (V5.3)-UnInstall</v>
      </c>
    </row>
    <row r="15" spans="2:5" s="1" customFormat="1" x14ac:dyDescent="0.25">
      <c r="B15" s="15" t="s">
        <v>166</v>
      </c>
      <c r="C15" s="16">
        <f>'PS SCript Builder'!B17</f>
        <v>0</v>
      </c>
    </row>
    <row r="16" spans="2:5" x14ac:dyDescent="0.25">
      <c r="B16" s="15" t="s">
        <v>159</v>
      </c>
      <c r="C16" s="16" t="str">
        <f>'PS SCript Builder'!B18&amp;"-Install"</f>
        <v>MPHAPPS InH CiscoAnyConectCleanup (V5.3)-Install</v>
      </c>
    </row>
    <row r="17" spans="2:3" x14ac:dyDescent="0.25">
      <c r="B17" s="15" t="s">
        <v>160</v>
      </c>
      <c r="C17" s="16" t="str">
        <f>'PS SCript Builder'!B18&amp;"-UnInstall"</f>
        <v>MPHAPPS InH CiscoAnyConectCleanup (V5.3)-UnInstall</v>
      </c>
    </row>
    <row r="18" spans="2:3" x14ac:dyDescent="0.25">
      <c r="B18" s="15" t="s">
        <v>161</v>
      </c>
      <c r="C18" s="16" t="s">
        <v>163</v>
      </c>
    </row>
    <row r="19" spans="2:3" x14ac:dyDescent="0.25">
      <c r="B19" s="15" t="s">
        <v>145</v>
      </c>
      <c r="C19" s="19" t="str">
        <f>'PS SCript Builder'!B4</f>
        <v>(V5.3)</v>
      </c>
    </row>
    <row r="20" spans="2:3" x14ac:dyDescent="0.25">
      <c r="B20" s="15" t="s">
        <v>146</v>
      </c>
      <c r="C20" s="16" t="str">
        <f>"&lt;"&amp;'PS SCript Builder'!B21&amp;"Minutes"</f>
        <v>&lt;20Minutes</v>
      </c>
    </row>
    <row r="21" spans="2:3" x14ac:dyDescent="0.25">
      <c r="B21" s="15" t="s">
        <v>147</v>
      </c>
      <c r="C21" s="16" t="str">
        <f>"&lt;"&amp;'PS SCript Builder'!B19&amp;'PS SCript Builder'!B20</f>
        <v>&lt;5GB</v>
      </c>
    </row>
    <row r="22" spans="2:3" x14ac:dyDescent="0.25">
      <c r="B22" s="15" t="s">
        <v>148</v>
      </c>
      <c r="C22" s="17">
        <v>1</v>
      </c>
    </row>
    <row r="23" spans="2:3" x14ac:dyDescent="0.25">
      <c r="B23" s="15" t="s">
        <v>149</v>
      </c>
      <c r="C23" s="17">
        <v>1</v>
      </c>
    </row>
    <row r="24" spans="2:3" x14ac:dyDescent="0.25">
      <c r="B24" s="15" t="s">
        <v>162</v>
      </c>
      <c r="C24" s="16">
        <v>1</v>
      </c>
    </row>
    <row r="25" spans="2:3" x14ac:dyDescent="0.25">
      <c r="B25" s="15" t="s">
        <v>150</v>
      </c>
      <c r="C25" s="16" t="s">
        <v>151</v>
      </c>
    </row>
    <row r="26" spans="2:3" x14ac:dyDescent="0.25">
      <c r="B26" s="15" t="s">
        <v>152</v>
      </c>
      <c r="C26" s="16" t="s">
        <v>153</v>
      </c>
    </row>
    <row r="27" spans="2:3" x14ac:dyDescent="0.25">
      <c r="B27" s="15" t="s">
        <v>154</v>
      </c>
      <c r="C27" s="16" t="s">
        <v>155</v>
      </c>
    </row>
    <row r="28" spans="2:3" x14ac:dyDescent="0.25">
      <c r="B28" s="15"/>
      <c r="C28" s="18"/>
    </row>
  </sheetData>
  <mergeCells count="1">
    <mergeCell ref="B2:C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100-000000000000}">
          <x14:formula1>
            <xm:f>'Referance - Column'!$U$2:$U$5</xm:f>
          </x14:formula1>
          <xm:sqref>C8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B2:C22"/>
  <sheetViews>
    <sheetView workbookViewId="0">
      <selection activeCell="B2" sqref="B2:C22"/>
    </sheetView>
  </sheetViews>
  <sheetFormatPr defaultRowHeight="15" x14ac:dyDescent="0.25"/>
  <cols>
    <col min="1" max="1" width="9.140625" style="1"/>
    <col min="2" max="2" width="40.5703125" style="1" customWidth="1"/>
    <col min="3" max="3" width="47.85546875" style="1" bestFit="1" customWidth="1"/>
    <col min="4" max="16384" width="9.140625" style="1"/>
  </cols>
  <sheetData>
    <row r="2" spans="2:3" x14ac:dyDescent="0.25">
      <c r="B2" s="35" t="str">
        <f>"Package for "&amp;'PS SCript Builder'!B2&amp;" "&amp;'PS SCript Builder'!B3&amp;" "&amp;'PS SCript Builder'!B4&amp;" "&amp;'PS SCript Builder'!B5&amp;" "&amp;'PS SCript Builder'!B6</f>
        <v xml:space="preserve">Package for InH CiscoAnyConectCleanup (V5.3)  </v>
      </c>
      <c r="C2" s="35"/>
    </row>
    <row r="3" spans="2:3" x14ac:dyDescent="0.25">
      <c r="B3" s="15" t="s">
        <v>0</v>
      </c>
      <c r="C3" s="16" t="str">
        <f>'PS SCript Builder'!B1</f>
        <v>MPHAPPS</v>
      </c>
    </row>
    <row r="4" spans="2:3" x14ac:dyDescent="0.25">
      <c r="B4" s="15" t="s">
        <v>2</v>
      </c>
      <c r="C4" s="16" t="str">
        <f>'PS SCript Builder'!B2</f>
        <v>InH</v>
      </c>
    </row>
    <row r="5" spans="2:3" x14ac:dyDescent="0.25">
      <c r="B5" s="15" t="s">
        <v>7</v>
      </c>
      <c r="C5" s="16" t="str">
        <f>'PS SCript Builder'!B3</f>
        <v>CiscoAnyConectCleanup</v>
      </c>
    </row>
    <row r="6" spans="2:3" x14ac:dyDescent="0.25">
      <c r="B6" s="15" t="s">
        <v>3</v>
      </c>
      <c r="C6" s="16" t="str">
        <f>'PS SCript Builder'!B4</f>
        <v>(V5.3)</v>
      </c>
    </row>
    <row r="7" spans="2:3" x14ac:dyDescent="0.25">
      <c r="B7" s="15" t="s">
        <v>6</v>
      </c>
      <c r="C7" s="16">
        <f>'PS SCript Builder'!B6</f>
        <v>0</v>
      </c>
    </row>
    <row r="8" spans="2:3" x14ac:dyDescent="0.25">
      <c r="B8" s="15" t="s">
        <v>94</v>
      </c>
      <c r="C8" s="16">
        <f>'PS SCript Builder'!B5</f>
        <v>0</v>
      </c>
    </row>
    <row r="9" spans="2:3" x14ac:dyDescent="0.25">
      <c r="B9" s="15" t="s">
        <v>144</v>
      </c>
      <c r="C9" s="16" t="str">
        <f>'PS SCript Builder'!B15</f>
        <v>MPHAPPS InH CiscoAnyConectCleanup (V5.3)</v>
      </c>
    </row>
    <row r="10" spans="2:3" x14ac:dyDescent="0.25">
      <c r="B10" s="15" t="s">
        <v>156</v>
      </c>
      <c r="C10" s="16" t="str">
        <f>'PS SCript Builder'!B27&amp;"-Install"</f>
        <v>MPHAPPS InH CiscoAnyConectCleanup (V5.3)-Install</v>
      </c>
    </row>
    <row r="11" spans="2:3" x14ac:dyDescent="0.25">
      <c r="B11" s="15" t="s">
        <v>164</v>
      </c>
      <c r="C11" s="16" t="str">
        <f>'PS SCript Builder'!B15&amp;"-Install"</f>
        <v>MPHAPPS InH CiscoAnyConectCleanup (V5.3)-Install</v>
      </c>
    </row>
    <row r="12" spans="2:3" x14ac:dyDescent="0.25">
      <c r="B12" s="15" t="s">
        <v>159</v>
      </c>
      <c r="C12" s="16" t="str">
        <f>'PS SCript Builder'!B18&amp;"-Install"</f>
        <v>MPHAPPS InH CiscoAnyConectCleanup (V5.3)-Install</v>
      </c>
    </row>
    <row r="13" spans="2:3" x14ac:dyDescent="0.25">
      <c r="B13" s="15" t="s">
        <v>145</v>
      </c>
      <c r="C13" s="19" t="str">
        <f>'PS SCript Builder'!B4</f>
        <v>(V5.3)</v>
      </c>
    </row>
    <row r="14" spans="2:3" x14ac:dyDescent="0.25">
      <c r="B14" s="15" t="s">
        <v>146</v>
      </c>
      <c r="C14" s="16" t="str">
        <f>"&lt;"&amp;'PS SCript Builder'!B21&amp;"Minutes"</f>
        <v>&lt;20Minutes</v>
      </c>
    </row>
    <row r="15" spans="2:3" x14ac:dyDescent="0.25">
      <c r="B15" s="15" t="s">
        <v>147</v>
      </c>
      <c r="C15" s="16" t="str">
        <f>"&lt;"&amp;'PS SCript Builder'!B19&amp;'PS SCript Builder'!B20</f>
        <v>&lt;5GB</v>
      </c>
    </row>
    <row r="16" spans="2:3" x14ac:dyDescent="0.25">
      <c r="B16" s="15" t="s">
        <v>148</v>
      </c>
      <c r="C16" s="17">
        <v>1</v>
      </c>
    </row>
    <row r="17" spans="2:3" x14ac:dyDescent="0.25">
      <c r="B17" s="15" t="s">
        <v>149</v>
      </c>
      <c r="C17" s="17">
        <v>1</v>
      </c>
    </row>
    <row r="18" spans="2:3" x14ac:dyDescent="0.25">
      <c r="B18" s="15" t="s">
        <v>162</v>
      </c>
      <c r="C18" s="16">
        <v>1</v>
      </c>
    </row>
    <row r="19" spans="2:3" x14ac:dyDescent="0.25">
      <c r="B19" s="15" t="s">
        <v>150</v>
      </c>
      <c r="C19" s="16" t="s">
        <v>151</v>
      </c>
    </row>
    <row r="20" spans="2:3" x14ac:dyDescent="0.25">
      <c r="B20" s="15" t="s">
        <v>152</v>
      </c>
      <c r="C20" s="16" t="s">
        <v>153</v>
      </c>
    </row>
    <row r="21" spans="2:3" x14ac:dyDescent="0.25">
      <c r="B21" s="15" t="s">
        <v>154</v>
      </c>
      <c r="C21" s="16" t="s">
        <v>155</v>
      </c>
    </row>
    <row r="22" spans="2:3" x14ac:dyDescent="0.25">
      <c r="B22" s="15"/>
      <c r="C22" s="18"/>
    </row>
  </sheetData>
  <mergeCells count="1">
    <mergeCell ref="B2:C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200-000000000000}">
          <x14:formula1>
            <xm:f>'Referance - Column'!$U$2:$U$5</xm:f>
          </x14:formula1>
          <xm:sqref>C8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AI22"/>
  <sheetViews>
    <sheetView workbookViewId="0">
      <selection activeCell="A16" sqref="A16:A22"/>
    </sheetView>
  </sheetViews>
  <sheetFormatPr defaultRowHeight="15" x14ac:dyDescent="0.25"/>
  <cols>
    <col min="1" max="1" width="3.5703125" style="1" customWidth="1"/>
    <col min="2" max="2" width="10" bestFit="1" customWidth="1"/>
    <col min="3" max="3" width="39.28515625" bestFit="1" customWidth="1"/>
    <col min="4" max="4" width="2.85546875" customWidth="1"/>
    <col min="5" max="5" width="3.5703125" customWidth="1"/>
    <col min="6" max="6" width="22" bestFit="1" customWidth="1"/>
    <col min="7" max="7" width="2.85546875" customWidth="1"/>
    <col min="8" max="8" width="13.7109375" bestFit="1" customWidth="1"/>
    <col min="9" max="9" width="2.85546875" customWidth="1"/>
    <col min="10" max="10" width="3.5703125" customWidth="1"/>
    <col min="12" max="12" width="2.85546875" customWidth="1"/>
    <col min="13" max="13" width="10.7109375" bestFit="1" customWidth="1"/>
    <col min="14" max="14" width="2.85546875" customWidth="1"/>
    <col min="15" max="15" width="29.140625" bestFit="1" customWidth="1"/>
    <col min="16" max="16" width="2.85546875" customWidth="1"/>
    <col min="17" max="17" width="27.85546875" bestFit="1" customWidth="1"/>
    <col min="18" max="18" width="2.85546875" customWidth="1"/>
    <col min="19" max="19" width="14.85546875" bestFit="1" customWidth="1"/>
    <col min="20" max="20" width="2.85546875" customWidth="1"/>
    <col min="21" max="21" width="12" bestFit="1" customWidth="1"/>
    <col min="22" max="22" width="2.85546875" customWidth="1"/>
    <col min="23" max="23" width="17.42578125" bestFit="1" customWidth="1"/>
    <col min="24" max="24" width="2.85546875" customWidth="1"/>
    <col min="25" max="25" width="35.7109375" bestFit="1" customWidth="1"/>
    <col min="26" max="26" width="2.85546875" customWidth="1"/>
    <col min="27" max="27" width="14.42578125" bestFit="1" customWidth="1"/>
    <col min="28" max="28" width="2.85546875" customWidth="1"/>
    <col min="29" max="29" width="51.42578125" bestFit="1" customWidth="1"/>
    <col min="30" max="30" width="2.85546875" customWidth="1"/>
    <col min="31" max="31" width="47.85546875" bestFit="1" customWidth="1"/>
    <col min="32" max="32" width="3.140625" customWidth="1"/>
    <col min="33" max="33" width="5.5703125" customWidth="1"/>
    <col min="34" max="34" width="10" bestFit="1" customWidth="1"/>
    <col min="35" max="35" width="39.28515625" bestFit="1" customWidth="1"/>
  </cols>
  <sheetData>
    <row r="1" spans="1:35" x14ac:dyDescent="0.25">
      <c r="A1" s="2" t="s">
        <v>73</v>
      </c>
      <c r="B1" s="2" t="s">
        <v>75</v>
      </c>
      <c r="C1" s="2" t="s">
        <v>74</v>
      </c>
      <c r="E1" s="2" t="s">
        <v>73</v>
      </c>
      <c r="F1" s="2" t="s">
        <v>18</v>
      </c>
      <c r="H1" s="2" t="s">
        <v>19</v>
      </c>
      <c r="J1" s="2" t="s">
        <v>73</v>
      </c>
      <c r="K1" s="2" t="s">
        <v>21</v>
      </c>
      <c r="M1" s="2" t="s">
        <v>22</v>
      </c>
      <c r="O1" s="2" t="s">
        <v>24</v>
      </c>
      <c r="Q1" s="2" t="s">
        <v>26</v>
      </c>
      <c r="S1" s="2" t="s">
        <v>28</v>
      </c>
      <c r="U1" s="2" t="s">
        <v>94</v>
      </c>
      <c r="W1" s="2" t="s">
        <v>114</v>
      </c>
      <c r="Y1" s="2" t="s">
        <v>91</v>
      </c>
      <c r="AA1" s="2" t="s">
        <v>122</v>
      </c>
      <c r="AC1" s="2" t="s">
        <v>93</v>
      </c>
      <c r="AE1" s="2" t="s">
        <v>125</v>
      </c>
      <c r="AG1" s="2" t="s">
        <v>73</v>
      </c>
      <c r="AH1" s="2" t="s">
        <v>75</v>
      </c>
      <c r="AI1" s="2" t="s">
        <v>142</v>
      </c>
    </row>
    <row r="2" spans="1:35" x14ac:dyDescent="0.25">
      <c r="A2" s="32">
        <v>1</v>
      </c>
      <c r="B2" s="32" t="s">
        <v>65</v>
      </c>
      <c r="C2" s="32" t="s">
        <v>47</v>
      </c>
      <c r="E2" s="2">
        <v>1</v>
      </c>
      <c r="F2" s="2">
        <v>1</v>
      </c>
      <c r="H2" s="2" t="s">
        <v>20</v>
      </c>
      <c r="J2" s="2">
        <v>1</v>
      </c>
      <c r="K2" s="2">
        <v>20</v>
      </c>
      <c r="M2" s="2" t="s">
        <v>23</v>
      </c>
      <c r="O2" s="2" t="s">
        <v>25</v>
      </c>
      <c r="Q2" s="2" t="s">
        <v>27</v>
      </c>
      <c r="S2" s="2">
        <v>0</v>
      </c>
      <c r="U2" s="2" t="s">
        <v>138</v>
      </c>
      <c r="W2" s="2" t="s">
        <v>115</v>
      </c>
      <c r="Y2" s="2" t="s">
        <v>118</v>
      </c>
      <c r="AA2" s="2">
        <v>0</v>
      </c>
      <c r="AC2" s="2" t="s">
        <v>123</v>
      </c>
      <c r="AE2" s="2" t="s">
        <v>126</v>
      </c>
      <c r="AG2" s="2">
        <v>1</v>
      </c>
      <c r="AH2" s="2" t="s">
        <v>65</v>
      </c>
      <c r="AI2" s="2" t="s">
        <v>47</v>
      </c>
    </row>
    <row r="3" spans="1:35" x14ac:dyDescent="0.25">
      <c r="A3" s="2">
        <v>2</v>
      </c>
      <c r="B3" s="2" t="s">
        <v>66</v>
      </c>
      <c r="C3" s="2" t="s">
        <v>44</v>
      </c>
      <c r="E3" s="2">
        <v>2</v>
      </c>
      <c r="F3" s="2">
        <v>2</v>
      </c>
      <c r="H3" s="2" t="s">
        <v>76</v>
      </c>
      <c r="J3" s="2">
        <v>2</v>
      </c>
      <c r="K3" s="2">
        <v>25</v>
      </c>
      <c r="M3" s="2" t="s">
        <v>78</v>
      </c>
      <c r="O3" s="2" t="s">
        <v>81</v>
      </c>
      <c r="Q3" s="2" t="s">
        <v>83</v>
      </c>
      <c r="S3" s="2">
        <v>1</v>
      </c>
      <c r="U3" s="2" t="s">
        <v>139</v>
      </c>
      <c r="W3" s="2" t="s">
        <v>116</v>
      </c>
      <c r="Y3" s="2" t="s">
        <v>119</v>
      </c>
      <c r="AA3" s="2">
        <v>1</v>
      </c>
      <c r="AC3" s="2" t="s">
        <v>124</v>
      </c>
      <c r="AE3" s="2" t="s">
        <v>58</v>
      </c>
      <c r="AG3" s="2">
        <v>2</v>
      </c>
      <c r="AH3" s="2" t="s">
        <v>66</v>
      </c>
      <c r="AI3" s="2" t="s">
        <v>44</v>
      </c>
    </row>
    <row r="4" spans="1:35" x14ac:dyDescent="0.25">
      <c r="A4" s="33">
        <v>3</v>
      </c>
      <c r="B4" s="33" t="s">
        <v>67</v>
      </c>
      <c r="C4" s="33" t="s">
        <v>45</v>
      </c>
      <c r="E4" s="2">
        <v>3</v>
      </c>
      <c r="F4" s="2">
        <v>3</v>
      </c>
      <c r="H4" s="2" t="s">
        <v>77</v>
      </c>
      <c r="J4" s="2">
        <v>3</v>
      </c>
      <c r="K4" s="2">
        <v>30</v>
      </c>
      <c r="M4" s="2" t="s">
        <v>79</v>
      </c>
      <c r="O4" s="2" t="s">
        <v>82</v>
      </c>
      <c r="U4" s="2" t="s">
        <v>140</v>
      </c>
      <c r="W4" s="2" t="s">
        <v>117</v>
      </c>
      <c r="Y4" s="2" t="s">
        <v>120</v>
      </c>
      <c r="AE4" s="2" t="s">
        <v>124</v>
      </c>
      <c r="AG4" s="2">
        <v>3</v>
      </c>
      <c r="AH4" s="2" t="s">
        <v>67</v>
      </c>
      <c r="AI4" s="2" t="s">
        <v>45</v>
      </c>
    </row>
    <row r="5" spans="1:35" x14ac:dyDescent="0.25">
      <c r="A5" s="32">
        <v>4</v>
      </c>
      <c r="B5" s="32" t="s">
        <v>68</v>
      </c>
      <c r="C5" s="32" t="s">
        <v>48</v>
      </c>
      <c r="E5" s="2">
        <v>4</v>
      </c>
      <c r="F5" s="2">
        <v>4</v>
      </c>
      <c r="J5" s="2">
        <v>4</v>
      </c>
      <c r="K5" s="2">
        <v>35</v>
      </c>
      <c r="M5" s="2" t="s">
        <v>80</v>
      </c>
      <c r="O5" s="2" t="s">
        <v>25</v>
      </c>
      <c r="U5" s="2" t="s">
        <v>141</v>
      </c>
      <c r="Y5" s="2" t="s">
        <v>121</v>
      </c>
      <c r="AG5" s="2">
        <v>4</v>
      </c>
      <c r="AH5" s="2" t="s">
        <v>68</v>
      </c>
      <c r="AI5" s="2" t="s">
        <v>48</v>
      </c>
    </row>
    <row r="6" spans="1:35" x14ac:dyDescent="0.25">
      <c r="A6" s="2">
        <v>5</v>
      </c>
      <c r="B6" s="2" t="s">
        <v>69</v>
      </c>
      <c r="C6" s="2" t="s">
        <v>39</v>
      </c>
      <c r="E6" s="2">
        <v>5</v>
      </c>
      <c r="F6" s="2">
        <v>5</v>
      </c>
      <c r="J6" s="2">
        <v>5</v>
      </c>
      <c r="K6" s="2">
        <v>40</v>
      </c>
      <c r="AG6" s="2">
        <v>5</v>
      </c>
      <c r="AH6" s="2" t="s">
        <v>69</v>
      </c>
      <c r="AI6" s="2" t="s">
        <v>39</v>
      </c>
    </row>
    <row r="7" spans="1:35" x14ac:dyDescent="0.25">
      <c r="A7" s="34">
        <v>6</v>
      </c>
      <c r="B7" s="34" t="s">
        <v>87</v>
      </c>
      <c r="C7" s="34" t="s">
        <v>42</v>
      </c>
      <c r="E7" s="2">
        <v>6</v>
      </c>
      <c r="F7" s="2">
        <v>6</v>
      </c>
      <c r="J7" s="2">
        <v>6</v>
      </c>
      <c r="K7" s="2">
        <v>45</v>
      </c>
      <c r="AG7" s="2">
        <v>6</v>
      </c>
      <c r="AH7" s="2" t="s">
        <v>87</v>
      </c>
      <c r="AI7" s="2" t="s">
        <v>42</v>
      </c>
    </row>
    <row r="8" spans="1:35" x14ac:dyDescent="0.25">
      <c r="A8" s="2">
        <v>7</v>
      </c>
      <c r="B8" s="2" t="s">
        <v>70</v>
      </c>
      <c r="C8" s="2" t="s">
        <v>41</v>
      </c>
      <c r="E8" s="2">
        <v>7</v>
      </c>
      <c r="F8" s="2">
        <v>7</v>
      </c>
      <c r="J8" s="2">
        <v>7</v>
      </c>
      <c r="K8" s="2">
        <v>50</v>
      </c>
      <c r="AG8" s="2">
        <v>7</v>
      </c>
      <c r="AH8" s="2" t="s">
        <v>70</v>
      </c>
      <c r="AI8" s="2" t="s">
        <v>41</v>
      </c>
    </row>
    <row r="9" spans="1:35" x14ac:dyDescent="0.25">
      <c r="A9" s="33">
        <v>8</v>
      </c>
      <c r="B9" s="33" t="s">
        <v>84</v>
      </c>
      <c r="C9" s="33" t="s">
        <v>40</v>
      </c>
      <c r="E9" s="2">
        <v>8</v>
      </c>
      <c r="F9" s="2">
        <v>8</v>
      </c>
      <c r="J9" s="2">
        <v>8</v>
      </c>
      <c r="K9" s="2">
        <v>55</v>
      </c>
      <c r="AG9" s="2">
        <v>8</v>
      </c>
      <c r="AH9" s="2" t="s">
        <v>84</v>
      </c>
      <c r="AI9" s="2" t="s">
        <v>40</v>
      </c>
    </row>
    <row r="10" spans="1:35" x14ac:dyDescent="0.25">
      <c r="A10" s="34">
        <v>9</v>
      </c>
      <c r="B10" s="34" t="s">
        <v>86</v>
      </c>
      <c r="C10" s="34" t="s">
        <v>43</v>
      </c>
      <c r="E10" s="2">
        <v>9</v>
      </c>
      <c r="F10" s="2">
        <v>9</v>
      </c>
      <c r="J10" s="2">
        <v>9</v>
      </c>
      <c r="K10" s="2">
        <v>60</v>
      </c>
      <c r="AG10" s="2">
        <v>9</v>
      </c>
      <c r="AH10" s="2" t="s">
        <v>86</v>
      </c>
      <c r="AI10" s="2" t="s">
        <v>43</v>
      </c>
    </row>
    <row r="11" spans="1:35" x14ac:dyDescent="0.25">
      <c r="A11" s="34">
        <v>10</v>
      </c>
      <c r="B11" s="34" t="s">
        <v>71</v>
      </c>
      <c r="C11" s="34" t="s">
        <v>46</v>
      </c>
      <c r="E11" s="2">
        <v>10</v>
      </c>
      <c r="F11" s="2">
        <v>10</v>
      </c>
      <c r="J11" s="2">
        <v>10</v>
      </c>
      <c r="K11" s="2">
        <v>65</v>
      </c>
      <c r="AG11" s="2">
        <v>10</v>
      </c>
      <c r="AH11" s="2" t="s">
        <v>71</v>
      </c>
      <c r="AI11" s="2" t="s">
        <v>46</v>
      </c>
    </row>
    <row r="12" spans="1:35" x14ac:dyDescent="0.25">
      <c r="A12" s="2">
        <v>11</v>
      </c>
      <c r="B12" s="2" t="s">
        <v>72</v>
      </c>
      <c r="C12" s="2" t="s">
        <v>63</v>
      </c>
      <c r="J12" s="2">
        <v>11</v>
      </c>
      <c r="K12" s="2">
        <v>70</v>
      </c>
      <c r="AG12" s="2">
        <v>11</v>
      </c>
      <c r="AH12" s="2" t="s">
        <v>72</v>
      </c>
      <c r="AI12" s="2" t="s">
        <v>63</v>
      </c>
    </row>
    <row r="13" spans="1:35" x14ac:dyDescent="0.25">
      <c r="A13" s="33">
        <v>12</v>
      </c>
      <c r="B13" s="33" t="s">
        <v>85</v>
      </c>
      <c r="C13" s="33" t="s">
        <v>64</v>
      </c>
      <c r="J13" s="2">
        <v>12</v>
      </c>
      <c r="K13" s="2">
        <v>75</v>
      </c>
      <c r="AG13" s="2">
        <v>12</v>
      </c>
      <c r="AH13" s="2" t="s">
        <v>85</v>
      </c>
      <c r="AI13" s="2" t="s">
        <v>64</v>
      </c>
    </row>
    <row r="14" spans="1:35" x14ac:dyDescent="0.25">
      <c r="J14" s="2">
        <v>13</v>
      </c>
      <c r="K14" s="2">
        <v>80</v>
      </c>
    </row>
    <row r="15" spans="1:35" x14ac:dyDescent="0.25">
      <c r="A15" s="2" t="s">
        <v>73</v>
      </c>
      <c r="B15" s="2" t="s">
        <v>204</v>
      </c>
      <c r="C15" s="2" t="s">
        <v>203</v>
      </c>
      <c r="J15" s="2">
        <v>14</v>
      </c>
      <c r="K15" s="2">
        <v>85</v>
      </c>
    </row>
    <row r="16" spans="1:35" x14ac:dyDescent="0.25">
      <c r="A16" s="3">
        <v>1</v>
      </c>
      <c r="B16" s="3"/>
      <c r="C16" s="2" t="s">
        <v>205</v>
      </c>
      <c r="F16" s="1"/>
      <c r="J16" s="2">
        <v>15</v>
      </c>
      <c r="K16" s="2">
        <v>90</v>
      </c>
    </row>
    <row r="17" spans="1:11" x14ac:dyDescent="0.25">
      <c r="A17" s="3">
        <v>2</v>
      </c>
      <c r="B17" s="3"/>
      <c r="C17" s="2" t="s">
        <v>206</v>
      </c>
      <c r="J17" s="2">
        <v>16</v>
      </c>
      <c r="K17" s="2">
        <v>95</v>
      </c>
    </row>
    <row r="18" spans="1:11" x14ac:dyDescent="0.25">
      <c r="A18" s="3">
        <v>3</v>
      </c>
      <c r="B18" s="2"/>
      <c r="C18" s="2" t="s">
        <v>207</v>
      </c>
      <c r="J18" s="2">
        <v>17</v>
      </c>
      <c r="K18" s="2">
        <v>100</v>
      </c>
    </row>
    <row r="19" spans="1:11" x14ac:dyDescent="0.25">
      <c r="A19" s="3">
        <v>4</v>
      </c>
      <c r="B19" s="2"/>
      <c r="C19" s="2" t="s">
        <v>208</v>
      </c>
      <c r="J19" s="2">
        <v>18</v>
      </c>
      <c r="K19" s="2">
        <v>105</v>
      </c>
    </row>
    <row r="20" spans="1:11" x14ac:dyDescent="0.25">
      <c r="A20" s="3">
        <v>5</v>
      </c>
      <c r="B20" s="2"/>
      <c r="C20" s="2" t="s">
        <v>209</v>
      </c>
      <c r="J20" s="2">
        <v>19</v>
      </c>
      <c r="K20" s="2">
        <v>110</v>
      </c>
    </row>
    <row r="21" spans="1:11" x14ac:dyDescent="0.25">
      <c r="A21" s="3">
        <v>6</v>
      </c>
      <c r="B21" s="2"/>
      <c r="C21" s="2" t="s">
        <v>210</v>
      </c>
      <c r="J21" s="2">
        <v>20</v>
      </c>
      <c r="K21" s="2">
        <v>115</v>
      </c>
    </row>
    <row r="22" spans="1:11" x14ac:dyDescent="0.25">
      <c r="A22" s="3">
        <v>7</v>
      </c>
      <c r="B22" s="2"/>
      <c r="C22" s="2" t="s">
        <v>211</v>
      </c>
      <c r="J22" s="2">
        <v>21</v>
      </c>
      <c r="K22" s="2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2:M33"/>
  <sheetViews>
    <sheetView topLeftCell="A3" workbookViewId="0">
      <selection activeCell="C33" sqref="C33"/>
    </sheetView>
  </sheetViews>
  <sheetFormatPr defaultRowHeight="15" x14ac:dyDescent="0.25"/>
  <cols>
    <col min="1" max="1" width="29.85546875" bestFit="1" customWidth="1"/>
    <col min="2" max="2" width="3.85546875" style="1" customWidth="1"/>
    <col min="3" max="3" width="67.42578125" bestFit="1" customWidth="1"/>
    <col min="4" max="4" width="35.140625" bestFit="1" customWidth="1"/>
    <col min="5" max="5" width="33.28515625" bestFit="1" customWidth="1"/>
  </cols>
  <sheetData>
    <row r="2" spans="1:13" x14ac:dyDescent="0.25">
      <c r="A2" t="s">
        <v>88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  <row r="4" spans="1:13" x14ac:dyDescent="0.25">
      <c r="A4" t="s">
        <v>101</v>
      </c>
      <c r="C4" s="1" t="s">
        <v>61</v>
      </c>
      <c r="D4" s="1" t="s">
        <v>62</v>
      </c>
      <c r="E4" s="6" t="s">
        <v>104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33</v>
      </c>
      <c r="K4" s="1" t="s">
        <v>34</v>
      </c>
      <c r="L4" s="1" t="s">
        <v>35</v>
      </c>
      <c r="M4" s="1" t="s">
        <v>15</v>
      </c>
    </row>
    <row r="5" spans="1:13" s="1" customFormat="1" x14ac:dyDescent="0.25">
      <c r="A5" s="1" t="s">
        <v>102</v>
      </c>
      <c r="C5" s="1" t="s">
        <v>61</v>
      </c>
      <c r="D5" s="1" t="s">
        <v>62</v>
      </c>
      <c r="E5" s="6" t="s">
        <v>105</v>
      </c>
      <c r="F5" s="1" t="s">
        <v>29</v>
      </c>
      <c r="G5" s="1" t="s">
        <v>30</v>
      </c>
      <c r="H5" s="1" t="s">
        <v>31</v>
      </c>
      <c r="I5" s="1" t="s">
        <v>32</v>
      </c>
      <c r="J5" s="1" t="s">
        <v>33</v>
      </c>
      <c r="K5" s="1" t="s">
        <v>34</v>
      </c>
      <c r="L5" s="1" t="s">
        <v>35</v>
      </c>
      <c r="M5" s="1" t="s">
        <v>15</v>
      </c>
    </row>
    <row r="6" spans="1:13" s="1" customFormat="1" x14ac:dyDescent="0.25">
      <c r="A6" s="1" t="s">
        <v>198</v>
      </c>
      <c r="C6" s="1" t="s">
        <v>61</v>
      </c>
      <c r="D6" s="1" t="s">
        <v>62</v>
      </c>
      <c r="E6" s="6" t="s">
        <v>199</v>
      </c>
      <c r="F6" s="1" t="s">
        <v>29</v>
      </c>
      <c r="G6" s="1" t="s">
        <v>30</v>
      </c>
      <c r="H6" s="1" t="s">
        <v>31</v>
      </c>
      <c r="I6" s="1" t="s">
        <v>32</v>
      </c>
      <c r="J6" s="1" t="s">
        <v>33</v>
      </c>
      <c r="K6" s="1" t="s">
        <v>34</v>
      </c>
      <c r="L6" s="1" t="s">
        <v>35</v>
      </c>
      <c r="M6" s="1" t="s">
        <v>15</v>
      </c>
    </row>
    <row r="8" spans="1:13" x14ac:dyDescent="0.25">
      <c r="A8" t="s">
        <v>96</v>
      </c>
      <c r="C8" s="1" t="s">
        <v>36</v>
      </c>
      <c r="D8" s="6" t="s">
        <v>106</v>
      </c>
      <c r="E8" s="1" t="s">
        <v>15</v>
      </c>
    </row>
    <row r="9" spans="1:13" s="1" customFormat="1" x14ac:dyDescent="0.25">
      <c r="A9" s="1" t="s">
        <v>103</v>
      </c>
      <c r="C9" s="1" t="s">
        <v>36</v>
      </c>
      <c r="D9" s="6" t="s">
        <v>107</v>
      </c>
      <c r="E9" s="1" t="s">
        <v>15</v>
      </c>
    </row>
    <row r="11" spans="1:13" x14ac:dyDescent="0.25">
      <c r="A11" t="s">
        <v>89</v>
      </c>
      <c r="C11" s="1" t="s">
        <v>49</v>
      </c>
      <c r="D11" s="1" t="s">
        <v>50</v>
      </c>
      <c r="E11" s="6" t="s">
        <v>15</v>
      </c>
    </row>
    <row r="12" spans="1:13" s="1" customFormat="1" x14ac:dyDescent="0.25">
      <c r="A12" s="1" t="s">
        <v>89</v>
      </c>
      <c r="C12" s="1" t="s">
        <v>49</v>
      </c>
      <c r="D12" s="1" t="s">
        <v>200</v>
      </c>
      <c r="E12" s="6" t="s">
        <v>15</v>
      </c>
    </row>
    <row r="13" spans="1:13" s="1" customFormat="1" x14ac:dyDescent="0.25"/>
    <row r="14" spans="1:13" x14ac:dyDescent="0.25">
      <c r="A14" t="s">
        <v>97</v>
      </c>
      <c r="C14" s="1" t="s">
        <v>52</v>
      </c>
      <c r="D14" s="1" t="s">
        <v>51</v>
      </c>
      <c r="E14" s="6" t="s">
        <v>108</v>
      </c>
      <c r="F14" s="6" t="s">
        <v>110</v>
      </c>
      <c r="G14" s="1" t="s">
        <v>53</v>
      </c>
      <c r="H14" s="1" t="s">
        <v>55</v>
      </c>
      <c r="I14" s="1" t="s">
        <v>60</v>
      </c>
      <c r="J14" s="1" t="s">
        <v>57</v>
      </c>
    </row>
    <row r="15" spans="1:13" x14ac:dyDescent="0.25">
      <c r="A15" s="1" t="s">
        <v>100</v>
      </c>
      <c r="C15" s="1" t="s">
        <v>52</v>
      </c>
      <c r="D15" s="1" t="s">
        <v>51</v>
      </c>
      <c r="E15" s="6" t="s">
        <v>109</v>
      </c>
      <c r="F15" s="6" t="s">
        <v>111</v>
      </c>
      <c r="G15" s="1" t="s">
        <v>53</v>
      </c>
      <c r="H15" s="1" t="s">
        <v>55</v>
      </c>
      <c r="I15" s="1" t="s">
        <v>60</v>
      </c>
      <c r="J15" s="1" t="s">
        <v>57</v>
      </c>
      <c r="K15" s="1"/>
      <c r="L15" s="1"/>
    </row>
    <row r="18" spans="1:5" x14ac:dyDescent="0.25">
      <c r="A18" t="s">
        <v>127</v>
      </c>
      <c r="C18" t="s">
        <v>128</v>
      </c>
      <c r="D18" t="s">
        <v>129</v>
      </c>
    </row>
    <row r="20" spans="1:5" x14ac:dyDescent="0.25">
      <c r="A20" t="s">
        <v>133</v>
      </c>
      <c r="C20" t="s">
        <v>135</v>
      </c>
      <c r="D20" s="6" t="s">
        <v>136</v>
      </c>
    </row>
    <row r="21" spans="1:5" x14ac:dyDescent="0.25">
      <c r="A21" t="s">
        <v>134</v>
      </c>
      <c r="C21" t="s">
        <v>135</v>
      </c>
      <c r="D21" s="6" t="s">
        <v>137</v>
      </c>
    </row>
    <row r="23" spans="1:5" x14ac:dyDescent="0.25">
      <c r="A23" t="s">
        <v>176</v>
      </c>
      <c r="C23" t="s">
        <v>188</v>
      </c>
      <c r="D23" s="6" t="s">
        <v>193</v>
      </c>
      <c r="E23" t="s">
        <v>15</v>
      </c>
    </row>
    <row r="24" spans="1:5" x14ac:dyDescent="0.25">
      <c r="A24" t="s">
        <v>177</v>
      </c>
      <c r="C24" s="1" t="s">
        <v>188</v>
      </c>
      <c r="D24" s="6" t="s">
        <v>194</v>
      </c>
      <c r="E24" s="1" t="s">
        <v>15</v>
      </c>
    </row>
    <row r="26" spans="1:5" x14ac:dyDescent="0.25">
      <c r="A26" t="s">
        <v>184</v>
      </c>
      <c r="C26" s="1" t="s">
        <v>192</v>
      </c>
      <c r="D26" s="6" t="s">
        <v>195</v>
      </c>
      <c r="E26" s="1" t="s">
        <v>129</v>
      </c>
    </row>
    <row r="27" spans="1:5" x14ac:dyDescent="0.25">
      <c r="A27" t="s">
        <v>185</v>
      </c>
      <c r="C27" s="1" t="s">
        <v>192</v>
      </c>
      <c r="D27" s="6" t="s">
        <v>194</v>
      </c>
      <c r="E27" s="1" t="s">
        <v>129</v>
      </c>
    </row>
    <row r="29" spans="1:5" x14ac:dyDescent="0.25">
      <c r="A29" s="1" t="s">
        <v>180</v>
      </c>
      <c r="C29" s="1" t="s">
        <v>188</v>
      </c>
      <c r="D29" s="6" t="s">
        <v>195</v>
      </c>
      <c r="E29" s="1" t="s">
        <v>15</v>
      </c>
    </row>
    <row r="30" spans="1:5" x14ac:dyDescent="0.25">
      <c r="A30" s="1" t="s">
        <v>181</v>
      </c>
      <c r="C30" s="1" t="s">
        <v>188</v>
      </c>
      <c r="D30" s="6" t="s">
        <v>194</v>
      </c>
      <c r="E30" s="1" t="s">
        <v>15</v>
      </c>
    </row>
    <row r="31" spans="1:5" x14ac:dyDescent="0.25">
      <c r="A31" s="1"/>
    </row>
    <row r="32" spans="1:5" x14ac:dyDescent="0.25">
      <c r="A32" s="1" t="s">
        <v>186</v>
      </c>
      <c r="C32" s="1" t="s">
        <v>192</v>
      </c>
      <c r="D32" s="6" t="s">
        <v>195</v>
      </c>
      <c r="E32" s="1" t="s">
        <v>129</v>
      </c>
    </row>
    <row r="33" spans="1:5" x14ac:dyDescent="0.25">
      <c r="A33" s="1" t="s">
        <v>187</v>
      </c>
      <c r="C33" s="1" t="s">
        <v>192</v>
      </c>
      <c r="D33" s="6" t="s">
        <v>194</v>
      </c>
      <c r="E33" s="1" t="s">
        <v>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FA020BD85CC42B3F636421967D93F" ma:contentTypeVersion="13" ma:contentTypeDescription="Create a new document." ma:contentTypeScope="" ma:versionID="d5afbb12dcf5c84a62be8feb9c7a141b">
  <xsd:schema xmlns:xsd="http://www.w3.org/2001/XMLSchema" xmlns:xs="http://www.w3.org/2001/XMLSchema" xmlns:p="http://schemas.microsoft.com/office/2006/metadata/properties" xmlns:ns3="87937971-51c5-44df-b012-3a87066563fd" xmlns:ns4="48ec3995-6ca1-4d37-a3fe-9cec0a0a4a57" targetNamespace="http://schemas.microsoft.com/office/2006/metadata/properties" ma:root="true" ma:fieldsID="5a3b029e0cf87aaad24b707770f47941" ns3:_="" ns4:_="">
    <xsd:import namespace="87937971-51c5-44df-b012-3a87066563fd"/>
    <xsd:import namespace="48ec3995-6ca1-4d37-a3fe-9cec0a0a4a5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37971-51c5-44df-b012-3a8706656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c3995-6ca1-4d37-a3fe-9cec0a0a4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D0F5BC-3823-4071-B4D5-15375ED2AE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937971-51c5-44df-b012-3a87066563fd"/>
    <ds:schemaRef ds:uri="48ec3995-6ca1-4d37-a3fe-9cec0a0a4a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CEE19B-6DCB-4DA1-A4B3-80ADD62E0A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77E34E-1310-4682-A161-12D7EA32D0AE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87937971-51c5-44df-b012-3a87066563fd"/>
    <ds:schemaRef ds:uri="http://schemas.microsoft.com/office/infopath/2007/PartnerControls"/>
    <ds:schemaRef ds:uri="http://schemas.openxmlformats.org/package/2006/metadata/core-properties"/>
    <ds:schemaRef ds:uri="48ec3995-6ca1-4d37-a3fe-9cec0a0a4a57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PS SCript Builder</vt:lpstr>
      <vt:lpstr>Package Information</vt:lpstr>
      <vt:lpstr>Package (Installation Only)</vt:lpstr>
      <vt:lpstr>Referance - Column</vt:lpstr>
      <vt:lpstr>Referance - Row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Harshithraj P</cp:lastModifiedBy>
  <dcterms:created xsi:type="dcterms:W3CDTF">2018-02-14T07:01:21Z</dcterms:created>
  <dcterms:modified xsi:type="dcterms:W3CDTF">2022-08-03T19:07:40Z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69025082-3089-4fa3-889c-c4f0ddc4a5f2</vt:lpwstr>
  </property>
  <property fmtid="{D5CDD505-2E9C-101B-9397-08002B2CF9AE}" pid="3" name="ContentTypeId">
    <vt:lpwstr>0x010100E80FA020BD85CC42B3F636421967D93F</vt:lpwstr>
  </property>
  <property fmtid="{D5CDD505-2E9C-101B-9397-08002B2CF9AE}" pid="4" name="MSIP_Label_552dc440-d5c8-4308-9a62-edd9860d3146_Enabled">
    <vt:lpwstr>true</vt:lpwstr>
  </property>
  <property fmtid="{D5CDD505-2E9C-101B-9397-08002B2CF9AE}" pid="5" name="MSIP_Label_552dc440-d5c8-4308-9a62-edd9860d3146_SetDate">
    <vt:lpwstr>2022-08-03T15:57:10Z</vt:lpwstr>
  </property>
  <property fmtid="{D5CDD505-2E9C-101B-9397-08002B2CF9AE}" pid="6" name="MSIP_Label_552dc440-d5c8-4308-9a62-edd9860d3146_Method">
    <vt:lpwstr>Privileged</vt:lpwstr>
  </property>
  <property fmtid="{D5CDD505-2E9C-101B-9397-08002B2CF9AE}" pid="7" name="MSIP_Label_552dc440-d5c8-4308-9a62-edd9860d3146_Name">
    <vt:lpwstr>Public</vt:lpwstr>
  </property>
  <property fmtid="{D5CDD505-2E9C-101B-9397-08002B2CF9AE}" pid="8" name="MSIP_Label_552dc440-d5c8-4308-9a62-edd9860d3146_SiteId">
    <vt:lpwstr>665b6c62-7310-4d39-9abb-32a0cbc3b90f</vt:lpwstr>
  </property>
  <property fmtid="{D5CDD505-2E9C-101B-9397-08002B2CF9AE}" pid="9" name="MSIP_Label_552dc440-d5c8-4308-9a62-edd9860d3146_ActionId">
    <vt:lpwstr>46442478-0804-441a-9303-116777add3f2</vt:lpwstr>
  </property>
  <property fmtid="{D5CDD505-2E9C-101B-9397-08002B2CF9AE}" pid="10" name="MSIP_Label_552dc440-d5c8-4308-9a62-edd9860d3146_ContentBits">
    <vt:lpwstr>0</vt:lpwstr>
  </property>
</Properties>
</file>